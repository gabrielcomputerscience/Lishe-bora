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ccounts" sheetId="2" state="visible" r:id="rId2"/>
    <sheet xmlns:r="http://schemas.openxmlformats.org/officeDocument/2006/relationships" name="Test script" sheetId="3" state="visible" r:id="rId3"/>
    <sheet xmlns:r="http://schemas.openxmlformats.org/officeDocument/2006/relationships" name="Progress" sheetId="4" state="visible" r:id="rId4"/>
    <sheet xmlns:r="http://schemas.openxmlformats.org/officeDocument/2006/relationships" name="Issues" sheetId="5" state="visible" r:id="rId5"/>
  </sheets>
  <definedNames>
    <definedName name="_xlnm._FilterDatabase" localSheetId="2" hidden="1">'Test script'!$A$1:$M$90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507435"/>
      <sz val="15"/>
    </font>
    <font>
      <b val="1"/>
      <color rgb="00AB822D"/>
      <sz val="12"/>
    </font>
    <font>
      <b val="1"/>
      <color rgb="00FFFFFF"/>
    </font>
    <font>
      <b val="1"/>
      <color rgb="00912E91"/>
    </font>
    <font>
      <b val="1"/>
    </font>
  </fonts>
  <fills count="5">
    <fill>
      <patternFill/>
    </fill>
    <fill>
      <patternFill patternType="gray125"/>
    </fill>
    <fill>
      <patternFill patternType="solid">
        <fgColor rgb="00507435"/>
      </patternFill>
    </fill>
    <fill>
      <patternFill patternType="solid">
        <fgColor rgb="00FBF4E6"/>
      </patternFill>
    </fill>
    <fill>
      <patternFill patternType="solid">
        <fgColor rgb="00EEF3E8"/>
      </patternFill>
    </fill>
  </fills>
  <borders count="2">
    <border>
      <left/>
      <right/>
      <top/>
      <bottom/>
      <diagonal/>
    </border>
    <border>
      <left style="thin">
        <color rgb="00D0D5C6"/>
      </left>
      <right style="thin">
        <color rgb="00D0D5C6"/>
      </right>
      <top style="thin">
        <color rgb="00D0D5C6"/>
      </top>
      <bottom style="thin">
        <color rgb="00D0D5C6"/>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4" fillId="4" borderId="1" applyAlignment="1" pivotButton="0" quotePrefix="0" xfId="0">
      <alignment vertical="top" wrapText="1"/>
    </xf>
    <xf numFmtId="0" fontId="5" fillId="0" borderId="0" pivotButton="0" quotePrefix="0" xfId="0"/>
    <xf numFmtId="0" fontId="0" fillId="0" borderId="1" pivotButton="0" quotePrefix="0" xfId="0"/>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LisheBora pilot test – Makueni County, Kalulini school (demo data)</t>
        </is>
      </c>
    </row>
    <row r="2">
      <c r="A2" s="2" t="inlineStr">
        <is>
          <t>Purpose: AATF staff test every process end to end with demo accounts before real users are invited. All figures are illustrative.</t>
        </is>
      </c>
    </row>
    <row r="3">
      <c r="A3" s="2" t="inlineStr"/>
    </row>
    <row r="4">
      <c r="A4" s="3" t="inlineStr">
        <is>
          <t>Before you start</t>
        </is>
      </c>
    </row>
    <row r="5">
      <c r="A5" s="2" t="inlineStr">
        <is>
          <t>1. On the LisheBora computer run scripts\use-demo.bat (demo database), then scripts\start-test-server.bat. Three windows open (API, worker, website); keep them open and the computer awake.</t>
        </is>
      </c>
    </row>
    <row r="6">
      <c r="A6" s="2" t="inlineStr">
        <is>
          <t>2. The start window shows the address to share, e.g. http://192.168.x.x:3000. Testers on the same office network open it in their browser. Staff sign in at /sign-in; administrators at /admin/sign-in.</t>
        </is>
      </c>
    </row>
    <row r="7">
      <c r="A7" s="2" t="inlineStr">
        <is>
          <t>3. Every demo account uses the password: Demo!2026pass</t>
        </is>
      </c>
    </row>
    <row r="8">
      <c r="A8" s="2" t="inlineStr">
        <is>
          <t>4. Some roles ask for a 6-digit code. In demo mode the code is shown on the screen (no SMS is sent).</t>
        </is>
      </c>
    </row>
    <row r="9">
      <c r="A9" s="2" t="inlineStr">
        <is>
          <t>5. Use a separate browser (or a private window) per person so sessions do not mix; or sign out between roles.</t>
        </is>
      </c>
    </row>
    <row r="10">
      <c r="A10" s="2" t="inlineStr">
        <is>
          <t>6. The sourcing event must close more than 1 hour after it is submitted. Do stages 13 and 15 while you wait.</t>
        </is>
      </c>
    </row>
    <row r="11">
      <c r="A11" s="2" t="inlineStr">
        <is>
          <t>7. Fill the Result column (Pass / Fail / Blocked) and write what you saw in Comments. Log problems on the Issues sheet with a screenshot.</t>
        </is>
      </c>
    </row>
    <row r="12">
      <c r="A12" s="2" t="inlineStr"/>
    </row>
    <row r="13">
      <c r="A13" s="3" t="inlineStr">
        <is>
          <t>What is in the demo data</t>
        </is>
      </c>
    </row>
    <row r="14">
      <c r="A14" s="2" t="inlineStr">
        <is>
          <t>Real Makueni, Embu and Isiolo schools; demo accounts for every role in Makueni; two prequalified demo suppliers (Umoja cooperative, Tumaini traders); an Umoja aggregation hub and a county food store; illustrative reference prices; one older demo order (PO-DEMO-0001) for Kalulini and Muatini.</t>
        </is>
      </c>
    </row>
    <row r="15">
      <c r="A15" s="2" t="inlineStr"/>
    </row>
    <row r="16">
      <c r="A16" s="3" t="inlineStr">
        <is>
          <t>Want to see a finished cycle first?</t>
        </is>
      </c>
    </row>
    <row r="17">
      <c r="A17" s="2" t="inlineStr">
        <is>
          <t>scripts\use-example.bat switches to an example database in which the whole cycle below has already been done automatically (82 checks, all passed – see LisheBora_Simulation_Report.xlsx). Switch back with scripts\use-demo.bat before hands-on testing.</t>
        </is>
      </c>
    </row>
    <row r="18">
      <c r="A18" s="2" t="inlineStr"/>
    </row>
    <row r="19">
      <c r="A19" s="3" t="inlineStr">
        <is>
          <t>Controls</t>
        </is>
      </c>
    </row>
    <row r="20">
      <c r="A20" s="2" t="inlineStr">
        <is>
          <t>Rows marked ‘Control’ check that the system REFUSES something (e.g. approving your own request). A control passes when the action is blocked.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36" customWidth="1" min="1" max="1"/>
    <col width="38" customWidth="1" min="2" max="2"/>
    <col width="20" customWidth="1" min="3" max="3"/>
    <col width="16" customWidth="1" min="4" max="4"/>
    <col width="58" customWidth="1" min="5" max="5"/>
    <col width="18" customWidth="1" min="6" max="6"/>
  </cols>
  <sheetData>
    <row r="1">
      <c r="A1" s="4" t="inlineStr">
        <is>
          <t>Email (sign-in)</t>
        </is>
      </c>
      <c r="B1" s="4" t="inlineStr">
        <is>
          <t>Role</t>
        </is>
      </c>
      <c r="C1" s="4" t="inlineStr">
        <is>
          <t>Area</t>
        </is>
      </c>
      <c r="D1" s="4" t="inlineStr">
        <is>
          <t>Sign-in page</t>
        </is>
      </c>
      <c r="E1" s="4" t="inlineStr">
        <is>
          <t>Used for</t>
        </is>
      </c>
      <c r="F1" s="4" t="inlineStr">
        <is>
          <t>Password</t>
        </is>
      </c>
    </row>
    <row r="2">
      <c r="A2" s="5" t="inlineStr">
        <is>
          <t>admin@lishebora.local</t>
        </is>
      </c>
      <c r="B2" s="5" t="inlineStr">
        <is>
          <t>Super Administrator</t>
        </is>
      </c>
      <c r="C2" s="5" t="inlineStr">
        <is>
          <t>National</t>
        </is>
      </c>
      <c r="D2" s="5" t="inlineStr">
        <is>
          <t>/admin/sign-in</t>
        </is>
      </c>
      <c r="E2" s="5" t="inlineStr">
        <is>
          <t>Features &amp; menus, administrator accounts (password ChangeMe!2026)</t>
        </is>
      </c>
      <c r="F2" s="5" t="inlineStr">
        <is>
          <t>ChangeMe!2026</t>
        </is>
      </c>
    </row>
    <row r="3">
      <c r="A3" s="5" t="inlineStr">
        <is>
          <t>administrator@demo.lishebora</t>
        </is>
      </c>
      <c r="B3" s="5" t="inlineStr">
        <is>
          <t>Administrator</t>
        </is>
      </c>
      <c r="C3" s="5" t="inlineStr">
        <is>
          <t>National</t>
        </is>
      </c>
      <c r="D3" s="5" t="inlineStr">
        <is>
          <t>/admin/sign-in</t>
        </is>
      </c>
      <c r="E3" s="5" t="inlineStr">
        <is>
          <t>Readiness checklist, users, master data, website publishing</t>
        </is>
      </c>
      <c r="F3" s="5" t="inlineStr">
        <is>
          <t>Demo!2026pass</t>
        </is>
      </c>
    </row>
    <row r="4">
      <c r="A4" s="5" t="inlineStr">
        <is>
          <t>editor@demo.lishebora</t>
        </is>
      </c>
      <c r="B4" s="5" t="inlineStr">
        <is>
          <t>Content Editor</t>
        </is>
      </c>
      <c r="C4" s="5" t="inlineStr">
        <is>
          <t>National</t>
        </is>
      </c>
      <c r="D4" s="5" t="inlineStr">
        <is>
          <t>/sign-in</t>
        </is>
      </c>
      <c r="E4" s="5" t="inlineStr">
        <is>
          <t>Drafts website news and pages (cannot publish)</t>
        </is>
      </c>
      <c r="F4" s="5" t="inlineStr">
        <is>
          <t>Demo!2026pass</t>
        </is>
      </c>
    </row>
    <row r="5">
      <c r="A5" s="5" t="inlineStr">
        <is>
          <t>nutrition@demo.lishebora</t>
        </is>
      </c>
      <c r="B5" s="5" t="inlineStr">
        <is>
          <t>Nutrition Officer</t>
        </is>
      </c>
      <c r="C5" s="5" t="inlineStr">
        <is>
          <t>Makueni County</t>
        </is>
      </c>
      <c r="D5" s="5" t="inlineStr">
        <is>
          <t>/sign-in</t>
        </is>
      </c>
      <c r="E5" s="5" t="inlineStr">
        <is>
          <t>Creates the term menu</t>
        </is>
      </c>
      <c r="F5" s="5" t="inlineStr">
        <is>
          <t>Demo!2026pass</t>
        </is>
      </c>
    </row>
    <row r="6">
      <c r="A6" s="5" t="inlineStr">
        <is>
          <t>procurement@demo.lishebora</t>
        </is>
      </c>
      <c r="B6" s="5" t="inlineStr">
        <is>
          <t>County Procurement Officer</t>
        </is>
      </c>
      <c r="C6" s="5" t="inlineStr">
        <is>
          <t>Makueni County</t>
        </is>
      </c>
      <c r="D6" s="5" t="inlineStr">
        <is>
          <t>/sign-in</t>
        </is>
      </c>
      <c r="E6" s="5" t="inlineStr">
        <is>
          <t>Approves menus, builds the plan, vets suppliers, runs sourcing</t>
        </is>
      </c>
      <c r="F6" s="5" t="inlineStr">
        <is>
          <t>Demo!2026pass</t>
        </is>
      </c>
    </row>
    <row r="7">
      <c r="A7" s="5" t="inlineStr">
        <is>
          <t>meals.officer@demo.lishebora</t>
        </is>
      </c>
      <c r="B7" s="5" t="inlineStr">
        <is>
          <t>School Meals Officer</t>
        </is>
      </c>
      <c r="C7" s="5" t="inlineStr">
        <is>
          <t>Kalulini school</t>
        </is>
      </c>
      <c r="D7" s="5" t="inlineStr">
        <is>
          <t>/sign-in</t>
        </is>
      </c>
      <c r="E7" s="5" t="inlineStr">
        <is>
          <t>School demand, daily food use</t>
        </is>
      </c>
      <c r="F7" s="5" t="inlineStr">
        <is>
          <t>Demo!2026pass</t>
        </is>
      </c>
    </row>
    <row r="8">
      <c r="A8" s="5" t="inlineStr">
        <is>
          <t>school.admin@demo.lishebora</t>
        </is>
      </c>
      <c r="B8" s="5" t="inlineStr">
        <is>
          <t>School Administrator</t>
        </is>
      </c>
      <c r="C8" s="5" t="inlineStr">
        <is>
          <t>Kalulini school</t>
        </is>
      </c>
      <c r="D8" s="5" t="inlineStr">
        <is>
          <t>/sign-in</t>
        </is>
      </c>
      <c r="E8" s="5" t="inlineStr">
        <is>
          <t>Approves demand, school GPS, confirms deliveries, complaints</t>
        </is>
      </c>
      <c r="F8" s="5" t="inlineStr">
        <is>
          <t>Demo!2026pass</t>
        </is>
      </c>
    </row>
    <row r="9">
      <c r="A9" s="5" t="inlineStr">
        <is>
          <t>finance@demo.lishebora</t>
        </is>
      </c>
      <c r="B9" s="5" t="inlineStr">
        <is>
          <t>County Finance Officer</t>
        </is>
      </c>
      <c r="C9" s="5" t="inlineStr">
        <is>
          <t>Makueni County</t>
        </is>
      </c>
      <c r="D9" s="5" t="inlineStr">
        <is>
          <t>/sign-in</t>
        </is>
      </c>
      <c r="E9" s="5" t="inlineStr">
        <is>
          <t>Budget lines, budget confirmation, invoice approval</t>
        </is>
      </c>
      <c r="F9" s="5" t="inlineStr">
        <is>
          <t>Demo!2026pass</t>
        </is>
      </c>
    </row>
    <row r="10">
      <c r="A10" s="5" t="inlineStr">
        <is>
          <t>county.admin@demo.lishebora</t>
        </is>
      </c>
      <c r="B10" s="5" t="inlineStr">
        <is>
          <t>County Administrator</t>
        </is>
      </c>
      <c r="C10" s="5" t="inlineStr">
        <is>
          <t>Makueni County</t>
        </is>
      </c>
      <c r="D10" s="5" t="inlineStr">
        <is>
          <t>/sign-in</t>
        </is>
      </c>
      <c r="E10" s="5" t="inlineStr">
        <is>
          <t>Approves plans, prequalifies suppliers, resolves cases</t>
        </is>
      </c>
      <c r="F10" s="5" t="inlineStr">
        <is>
          <t>Demo!2026pass</t>
        </is>
      </c>
    </row>
    <row r="11">
      <c r="A11" s="5" t="inlineStr">
        <is>
          <t>approver@demo.lishebora</t>
        </is>
      </c>
      <c r="B11" s="5" t="inlineStr">
        <is>
          <t>Approving Officer</t>
        </is>
      </c>
      <c r="C11" s="5" t="inlineStr">
        <is>
          <t>Makueni County</t>
        </is>
      </c>
      <c r="D11" s="5" t="inlineStr">
        <is>
          <t>/sign-in</t>
        </is>
      </c>
      <c r="E11" s="5" t="inlineStr">
        <is>
          <t>Approves sourcing events and awards</t>
        </is>
      </c>
      <c r="F11" s="5" t="inlineStr">
        <is>
          <t>Demo!2026pass</t>
        </is>
      </c>
    </row>
    <row r="12">
      <c r="A12" s="5" t="inlineStr">
        <is>
          <t>evaluator1@demo.lishebora</t>
        </is>
      </c>
      <c r="B12" s="5" t="inlineStr">
        <is>
          <t>Evaluation Committee Member 1</t>
        </is>
      </c>
      <c r="C12" s="5" t="inlineStr">
        <is>
          <t>Makueni County</t>
        </is>
      </c>
      <c r="D12" s="5" t="inlineStr">
        <is>
          <t>/sign-in</t>
        </is>
      </c>
      <c r="E12" s="5" t="inlineStr">
        <is>
          <t>Declares conflict of interest, scores bids</t>
        </is>
      </c>
      <c r="F12" s="5" t="inlineStr">
        <is>
          <t>Demo!2026pass</t>
        </is>
      </c>
    </row>
    <row r="13">
      <c r="A13" s="5" t="inlineStr">
        <is>
          <t>evaluator2@demo.lishebora</t>
        </is>
      </c>
      <c r="B13" s="5" t="inlineStr">
        <is>
          <t>Evaluation Committee Member 2</t>
        </is>
      </c>
      <c r="C13" s="5" t="inlineStr">
        <is>
          <t>Makueni County</t>
        </is>
      </c>
      <c r="D13" s="5" t="inlineStr">
        <is>
          <t>/sign-in</t>
        </is>
      </c>
      <c r="E13" s="5" t="inlineStr">
        <is>
          <t>Scores bids</t>
        </is>
      </c>
      <c r="F13" s="5" t="inlineStr">
        <is>
          <t>Demo!2026pass</t>
        </is>
      </c>
    </row>
    <row r="14">
      <c r="A14" s="5" t="inlineStr">
        <is>
          <t>evaluator3@demo.lishebora</t>
        </is>
      </c>
      <c r="B14" s="5" t="inlineStr">
        <is>
          <t>Evaluation Committee Member 3</t>
        </is>
      </c>
      <c r="C14" s="5" t="inlineStr">
        <is>
          <t>Makueni County</t>
        </is>
      </c>
      <c r="D14" s="5" t="inlineStr">
        <is>
          <t>/sign-in</t>
        </is>
      </c>
      <c r="E14" s="5" t="inlineStr">
        <is>
          <t>Scores bids</t>
        </is>
      </c>
      <c r="F14" s="5" t="inlineStr">
        <is>
          <t>Demo!2026pass</t>
        </is>
      </c>
    </row>
    <row r="15">
      <c r="A15" s="5" t="inlineStr">
        <is>
          <t>supplier1@demo.lishebora</t>
        </is>
      </c>
      <c r="B15" s="5" t="inlineStr">
        <is>
          <t>Supplier – Umoja Farmers Cooperative (demo)</t>
        </is>
      </c>
      <c r="C15" s="5" t="inlineStr">
        <is>
          <t>Own organisation</t>
        </is>
      </c>
      <c r="D15" s="5" t="inlineStr">
        <is>
          <t>/sign-in</t>
        </is>
      </c>
      <c r="E15" s="5" t="inlineStr">
        <is>
          <t>Bids, acknowledges orders, follows payment</t>
        </is>
      </c>
      <c r="F15" s="5" t="inlineStr">
        <is>
          <t>Demo!2026pass</t>
        </is>
      </c>
    </row>
    <row r="16">
      <c r="A16" s="5" t="inlineStr">
        <is>
          <t>supplier2@demo.lishebora</t>
        </is>
      </c>
      <c r="B16" s="5" t="inlineStr">
        <is>
          <t>Supplier – Tumaini Grain Traders (demo)</t>
        </is>
      </c>
      <c r="C16" s="5" t="inlineStr">
        <is>
          <t>Own organisation</t>
        </is>
      </c>
      <c r="D16" s="5" t="inlineStr">
        <is>
          <t>/sign-in</t>
        </is>
      </c>
      <c r="E16" s="5" t="inlineStr">
        <is>
          <t>Competing bid, clarification question</t>
        </is>
      </c>
      <c r="F16" s="5" t="inlineStr">
        <is>
          <t>Demo!2026pass</t>
        </is>
      </c>
    </row>
    <row r="17">
      <c r="A17" s="5" t="inlineStr">
        <is>
          <t>aggregator@demo.lishebora</t>
        </is>
      </c>
      <c r="B17" s="5" t="inlineStr">
        <is>
          <t>Aggregator – Umoja hub</t>
        </is>
      </c>
      <c r="C17" s="5" t="inlineStr">
        <is>
          <t>Umoja hub</t>
        </is>
      </c>
      <c r="D17" s="5" t="inlineStr">
        <is>
          <t>/sign-in</t>
        </is>
      </c>
      <c r="E17" s="5" t="inlineStr">
        <is>
          <t>Farmer intake, batches, transfers, invoices</t>
        </is>
      </c>
      <c r="F17" s="5" t="inlineStr">
        <is>
          <t>Demo!2026pass</t>
        </is>
      </c>
    </row>
    <row r="18">
      <c r="A18" s="5" t="inlineStr">
        <is>
          <t>inspector@demo.lishebora</t>
        </is>
      </c>
      <c r="B18" s="5" t="inlineStr">
        <is>
          <t>Quality Inspector</t>
        </is>
      </c>
      <c r="C18" s="5" t="inlineStr">
        <is>
          <t>Makueni County</t>
        </is>
      </c>
      <c r="D18" s="5" t="inlineStr">
        <is>
          <t>/sign-in</t>
        </is>
      </c>
      <c r="E18" s="5" t="inlineStr">
        <is>
          <t>Inspects batches, recalls</t>
        </is>
      </c>
      <c r="F18" s="5" t="inlineStr">
        <is>
          <t>Demo!2026pass</t>
        </is>
      </c>
    </row>
    <row r="19">
      <c r="A19" s="5" t="inlineStr">
        <is>
          <t>warehouse@demo.lishebora</t>
        </is>
      </c>
      <c r="B19" s="5" t="inlineStr">
        <is>
          <t>Warehouse Officer</t>
        </is>
      </c>
      <c r="C19" s="5" t="inlineStr">
        <is>
          <t>County food store</t>
        </is>
      </c>
      <c r="D19" s="5" t="inlineStr">
        <is>
          <t>/sign-in</t>
        </is>
      </c>
      <c r="E19" s="5" t="inlineStr">
        <is>
          <t>Stock counts at the county store</t>
        </is>
      </c>
      <c r="F19" s="5" t="inlineStr">
        <is>
          <t>Demo!2026pass</t>
        </is>
      </c>
    </row>
    <row r="20">
      <c r="A20" s="5" t="inlineStr">
        <is>
          <t>warehouse.supervisor@demo.lishebora</t>
        </is>
      </c>
      <c r="B20" s="5" t="inlineStr">
        <is>
          <t>Warehouse Supervisor</t>
        </is>
      </c>
      <c r="C20" s="5" t="inlineStr">
        <is>
          <t>Makueni County</t>
        </is>
      </c>
      <c r="D20" s="5" t="inlineStr">
        <is>
          <t>/sign-in</t>
        </is>
      </c>
      <c r="E20" s="5" t="inlineStr">
        <is>
          <t>Verifies write-offs and counts</t>
        </is>
      </c>
      <c r="F20" s="5" t="inlineStr">
        <is>
          <t>Demo!2026pass</t>
        </is>
      </c>
    </row>
    <row r="21">
      <c r="A21" s="5" t="inlineStr">
        <is>
          <t>logistics@demo.lishebora</t>
        </is>
      </c>
      <c r="B21" s="5" t="inlineStr">
        <is>
          <t>Logistics Officer</t>
        </is>
      </c>
      <c r="C21" s="5" t="inlineStr">
        <is>
          <t>Makueni County</t>
        </is>
      </c>
      <c r="D21" s="5" t="inlineStr">
        <is>
          <t>/sign-in</t>
        </is>
      </c>
      <c r="E21" s="5" t="inlineStr">
        <is>
          <t>Plans and dispatches delivery trips</t>
        </is>
      </c>
      <c r="F21" s="5" t="inlineStr">
        <is>
          <t>Demo!2026pass</t>
        </is>
      </c>
    </row>
    <row r="22">
      <c r="A22" s="5" t="inlineStr">
        <is>
          <t>driver@demo.lishebora</t>
        </is>
      </c>
      <c r="B22" s="5" t="inlineStr">
        <is>
          <t>Driver</t>
        </is>
      </c>
      <c r="C22" s="5" t="inlineStr">
        <is>
          <t>Own trips</t>
        </is>
      </c>
      <c r="D22" s="5" t="inlineStr">
        <is>
          <t>/sign-in</t>
        </is>
      </c>
      <c r="E22" s="5" t="inlineStr">
        <is>
          <t>Updates trip progress</t>
        </is>
      </c>
      <c r="F22" s="5" t="inlineStr">
        <is>
          <t>Demo!2026pass</t>
        </is>
      </c>
    </row>
    <row r="23">
      <c r="A23" s="5" t="inlineStr">
        <is>
          <t>accounts@demo.lishebora</t>
        </is>
      </c>
      <c r="B23" s="5" t="inlineStr">
        <is>
          <t>Finance Officer – verifier</t>
        </is>
      </c>
      <c r="C23" s="5" t="inlineStr">
        <is>
          <t>Makueni County</t>
        </is>
      </c>
      <c r="D23" s="5" t="inlineStr">
        <is>
          <t>/sign-in</t>
        </is>
      </c>
      <c r="E23" s="5" t="inlineStr">
        <is>
          <t>Verifies invoices, payment details</t>
        </is>
      </c>
      <c r="F23" s="5" t="inlineStr">
        <is>
          <t>Demo!2026pass</t>
        </is>
      </c>
    </row>
    <row r="24">
      <c r="A24" s="5" t="inlineStr">
        <is>
          <t>payments@demo.lishebora</t>
        </is>
      </c>
      <c r="B24" s="5" t="inlineStr">
        <is>
          <t>Finance Officer – payer</t>
        </is>
      </c>
      <c r="C24" s="5" t="inlineStr">
        <is>
          <t>Makueni County</t>
        </is>
      </c>
      <c r="D24" s="5" t="inlineStr">
        <is>
          <t>/sign-in</t>
        </is>
      </c>
      <c r="E24" s="5" t="inlineStr">
        <is>
          <t>Records payments, IFMIS export</t>
        </is>
      </c>
      <c r="F24" s="5" t="inlineStr">
        <is>
          <t>Demo!2026pass</t>
        </is>
      </c>
    </row>
    <row r="25">
      <c r="A25" s="5" t="inlineStr">
        <is>
          <t>meal@demo.lishebora</t>
        </is>
      </c>
      <c r="B25" s="5" t="inlineStr">
        <is>
          <t>Programme MEAL Officer</t>
        </is>
      </c>
      <c r="C25" s="5" t="inlineStr">
        <is>
          <t>Programme</t>
        </is>
      </c>
      <c r="D25" s="5" t="inlineStr">
        <is>
          <t>/sign-in</t>
        </is>
      </c>
      <c r="E25" s="5" t="inlineStr">
        <is>
          <t>MEAL dashboard, exports, map</t>
        </is>
      </c>
      <c r="F25" s="5" t="inlineStr">
        <is>
          <t>Demo!2026pass</t>
        </is>
      </c>
    </row>
    <row r="26">
      <c r="A26" s="5" t="inlineStr">
        <is>
          <t>risk@demo.lishebora</t>
        </is>
      </c>
      <c r="B26" s="5" t="inlineStr">
        <is>
          <t>Risk &amp; Compliance Officer</t>
        </is>
      </c>
      <c r="C26" s="5" t="inlineStr">
        <is>
          <t>Makueni County</t>
        </is>
      </c>
      <c r="D26" s="5" t="inlineStr">
        <is>
          <t>/sign-in</t>
        </is>
      </c>
      <c r="E26" s="5" t="inlineStr">
        <is>
          <t>Risk flags</t>
        </is>
      </c>
      <c r="F26" s="5" t="inlineStr">
        <is>
          <t>Demo!2026pass</t>
        </is>
      </c>
    </row>
    <row r="27">
      <c r="A27" s="5" t="inlineStr">
        <is>
          <t>auditor@demo.lishebora</t>
        </is>
      </c>
      <c r="B27" s="5" t="inlineStr">
        <is>
          <t>Auditor</t>
        </is>
      </c>
      <c r="C27" s="5" t="inlineStr">
        <is>
          <t>National (read-only)</t>
        </is>
      </c>
      <c r="D27" s="5" t="inlineStr">
        <is>
          <t>/sign-in</t>
        </is>
      </c>
      <c r="E27" s="5" t="inlineStr">
        <is>
          <t>Audit trail</t>
        </is>
      </c>
      <c r="F27" s="5" t="inlineStr">
        <is>
          <t>Demo!2026pass</t>
        </is>
      </c>
    </row>
    <row r="28">
      <c r="A28" s="5" t="inlineStr">
        <is>
          <t>school2.admin@demo.lishebora</t>
        </is>
      </c>
      <c r="B28" s="5" t="inlineStr">
        <is>
          <t>School Administrator (Muatini)</t>
        </is>
      </c>
      <c r="C28" s="5" t="inlineStr">
        <is>
          <t>Muatini school</t>
        </is>
      </c>
      <c r="D28" s="5" t="inlineStr">
        <is>
          <t>/sign-in</t>
        </is>
      </c>
      <c r="E28" s="5" t="inlineStr">
        <is>
          <t>Used only to check one school cannot act for another</t>
        </is>
      </c>
      <c r="F28" s="5" t="inlineStr">
        <is>
          <t>Demo!2026pass</t>
        </is>
      </c>
    </row>
    <row r="29">
      <c r="A29" s="5" t="inlineStr">
        <is>
          <t>(registers on the website)</t>
        </is>
      </c>
      <c r="B29" s="5" t="inlineStr">
        <is>
          <t>New supplier – your own test farmer group</t>
        </is>
      </c>
      <c r="C29" s="5" t="inlineStr">
        <is>
          <t>Own organisation</t>
        </is>
      </c>
      <c r="D29" s="5" t="inlineStr">
        <is>
          <t>/register</t>
        </is>
      </c>
      <c r="E29" s="5" t="inlineStr">
        <is>
          <t>Self-registration, documents, bidding</t>
        </is>
      </c>
      <c r="F29" s="5" t="inlineStr">
        <is>
          <t>choose your 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4" customWidth="1" min="3" max="3"/>
    <col width="10" customWidth="1" min="4" max="4"/>
    <col width="26" customWidth="1" min="5" max="5"/>
    <col width="32" customWidth="1" min="6" max="6"/>
    <col width="30" customWidth="1" min="7" max="7"/>
    <col width="60" customWidth="1" min="8" max="8"/>
    <col width="46" customWidth="1" min="9" max="9"/>
    <col width="12" customWidth="1" min="10" max="10"/>
    <col width="14" customWidth="1" min="11" max="11"/>
    <col width="12" customWidth="1" min="12" max="12"/>
    <col width="36" customWidth="1" min="13" max="13"/>
  </cols>
  <sheetData>
    <row r="1">
      <c r="A1" s="4" t="inlineStr">
        <is>
          <t>#</t>
        </is>
      </c>
      <c r="B1" s="4" t="inlineStr">
        <is>
          <t>Stage</t>
        </is>
      </c>
      <c r="C1" s="4" t="inlineStr">
        <is>
          <t>Step</t>
        </is>
      </c>
      <c r="D1" s="4" t="inlineStr">
        <is>
          <t>Type</t>
        </is>
      </c>
      <c r="E1" s="4" t="inlineStr">
        <is>
          <t>Who</t>
        </is>
      </c>
      <c r="F1" s="4" t="inlineStr">
        <is>
          <t>Account</t>
        </is>
      </c>
      <c r="G1" s="4" t="inlineStr">
        <is>
          <t>Where in the system</t>
        </is>
      </c>
      <c r="H1" s="4" t="inlineStr">
        <is>
          <t>What to do</t>
        </is>
      </c>
      <c r="I1" s="4" t="inlineStr">
        <is>
          <t>Expected result</t>
        </is>
      </c>
      <c r="J1" s="4" t="inlineStr">
        <is>
          <t>Result</t>
        </is>
      </c>
      <c r="K1" s="4" t="inlineStr">
        <is>
          <t>Tester</t>
        </is>
      </c>
      <c r="L1" s="4" t="inlineStr">
        <is>
          <t>Date</t>
        </is>
      </c>
      <c r="M1" s="4" t="inlineStr">
        <is>
          <t>Comments</t>
        </is>
      </c>
    </row>
    <row r="2">
      <c r="A2" s="6" t="n">
        <v>1</v>
      </c>
      <c r="B2" s="6" t="inlineStr">
        <is>
          <t>1 Set-up</t>
        </is>
      </c>
      <c r="C2" s="6" t="inlineStr">
        <is>
          <t>Sign in as administrator</t>
        </is>
      </c>
      <c r="D2" s="6" t="inlineStr">
        <is>
          <t>Process</t>
        </is>
      </c>
      <c r="E2" s="6" t="inlineStr">
        <is>
          <t>Administrator</t>
        </is>
      </c>
      <c r="F2" s="6" t="inlineStr">
        <is>
          <t>administrator@demo.lishebora</t>
        </is>
      </c>
      <c r="G2" s="6" t="inlineStr">
        <is>
          <t>/admin/sign-in</t>
        </is>
      </c>
      <c r="H2" s="6" t="inlineStr">
        <is>
          <t>Sign in with the password, then type the 6-digit code shown on the screen (demo mode).</t>
        </is>
      </c>
      <c r="I2" s="6" t="inlineStr">
        <is>
          <t>The admin console opens.</t>
        </is>
      </c>
      <c r="J2" s="5" t="inlineStr"/>
      <c r="K2" s="5" t="inlineStr"/>
      <c r="L2" s="5" t="inlineStr"/>
      <c r="M2" s="5" t="inlineStr"/>
    </row>
    <row r="3">
      <c r="A3" s="6" t="n">
        <v>2</v>
      </c>
      <c r="B3" s="6" t="inlineStr">
        <is>
          <t>1 Set-up</t>
        </is>
      </c>
      <c r="C3" s="6" t="inlineStr">
        <is>
          <t>Administrator cannot use the staff sign-in</t>
        </is>
      </c>
      <c r="D3" s="7" t="inlineStr">
        <is>
          <t>Control</t>
        </is>
      </c>
      <c r="E3" s="6" t="inlineStr">
        <is>
          <t>Administrator</t>
        </is>
      </c>
      <c r="F3" s="6" t="inlineStr">
        <is>
          <t>administrator@demo.lishebora</t>
        </is>
      </c>
      <c r="G3" s="6" t="inlineStr">
        <is>
          <t>/sign-in</t>
        </is>
      </c>
      <c r="H3" s="6" t="inlineStr">
        <is>
          <t>Try the administrator email on the normal sign-in page.</t>
        </is>
      </c>
      <c r="I3" s="6" t="inlineStr">
        <is>
          <t>Refused with a message to use the administration sign-in.</t>
        </is>
      </c>
      <c r="J3" s="5" t="inlineStr"/>
      <c r="K3" s="5" t="inlineStr"/>
      <c r="L3" s="5" t="inlineStr"/>
      <c r="M3" s="5" t="inlineStr"/>
    </row>
    <row r="4">
      <c r="A4" s="6" t="n">
        <v>3</v>
      </c>
      <c r="B4" s="6" t="inlineStr">
        <is>
          <t>1 Set-up</t>
        </is>
      </c>
      <c r="C4" s="6" t="inlineStr">
        <is>
          <t>Check pilot readiness</t>
        </is>
      </c>
      <c r="D4" s="6" t="inlineStr">
        <is>
          <t>Process</t>
        </is>
      </c>
      <c r="E4" s="6" t="inlineStr">
        <is>
          <t>Administrator</t>
        </is>
      </c>
      <c r="F4" s="6" t="inlineStr">
        <is>
          <t>administrator@demo.lishebora</t>
        </is>
      </c>
      <c r="G4" s="6" t="inlineStr">
        <is>
          <t>Administration › Pilot readiness</t>
        </is>
      </c>
      <c r="H4" s="6" t="inlineStr">
        <is>
          <t>Open the page and read the items.</t>
        </is>
      </c>
      <c r="I4" s="6" t="inlineStr">
        <is>
          <t>The checklist loads with a percentage and Fix links (demo data is flagged – expected for this test).</t>
        </is>
      </c>
      <c r="J4" s="5" t="inlineStr"/>
      <c r="K4" s="5" t="inlineStr"/>
      <c r="L4" s="5" t="inlineStr"/>
      <c r="M4" s="5" t="inlineStr"/>
    </row>
    <row r="5">
      <c r="A5" s="6" t="n">
        <v>4</v>
      </c>
      <c r="B5" s="6" t="inlineStr">
        <is>
          <t>1 Set-up</t>
        </is>
      </c>
      <c r="C5" s="6" t="inlineStr">
        <is>
          <t>Record the school's location</t>
        </is>
      </c>
      <c r="D5" s="6" t="inlineStr">
        <is>
          <t>Process</t>
        </is>
      </c>
      <c r="E5" s="6" t="inlineStr">
        <is>
          <t>School Administrator</t>
        </is>
      </c>
      <c r="F5" s="6" t="inlineStr">
        <is>
          <t>school.admin@demo.lishebora</t>
        </is>
      </c>
      <c r="G5" s="6" t="inlineStr">
        <is>
          <t>Plan › School locations</t>
        </is>
      </c>
      <c r="H5" s="6" t="inlineStr">
        <is>
          <t>Open Kalulini › Set location. On a phone at the school tap ‘Use my location’; otherwise click the school on the map or type the coordinates. Save.</t>
        </is>
      </c>
      <c r="I5" s="6" t="inlineStr">
        <is>
          <t>Coordinates saved with ‘how captured’, your name and time.</t>
        </is>
      </c>
      <c r="J5" s="5" t="inlineStr"/>
      <c r="K5" s="5" t="inlineStr"/>
      <c r="L5" s="5" t="inlineStr"/>
      <c r="M5" s="5" t="inlineStr"/>
    </row>
    <row r="6">
      <c r="A6" s="6" t="n">
        <v>5</v>
      </c>
      <c r="B6" s="6" t="inlineStr">
        <is>
          <t>1 Set-up</t>
        </is>
      </c>
      <c r="C6" s="6" t="inlineStr">
        <is>
          <t>Wrong coordinates are refused</t>
        </is>
      </c>
      <c r="D6" s="7" t="inlineStr">
        <is>
          <t>Control</t>
        </is>
      </c>
      <c r="E6" s="6" t="inlineStr">
        <is>
          <t>School Administrator</t>
        </is>
      </c>
      <c r="F6" s="6" t="inlineStr">
        <is>
          <t>school.admin@demo.lishebora</t>
        </is>
      </c>
      <c r="G6" s="6" t="inlineStr">
        <is>
          <t>Plan › School locations</t>
        </is>
      </c>
      <c r="H6" s="6" t="inlineStr">
        <is>
          <t>Type latitude 37.62 and longitude -1.80 (swapped) and save.</t>
        </is>
      </c>
      <c r="I6" s="6" t="inlineStr">
        <is>
          <t>Refused: ‘outside Kenya … not swapped’.</t>
        </is>
      </c>
      <c r="J6" s="5" t="inlineStr"/>
      <c r="K6" s="5" t="inlineStr"/>
      <c r="L6" s="5" t="inlineStr"/>
      <c r="M6" s="5" t="inlineStr"/>
    </row>
    <row r="7">
      <c r="A7" s="8" t="n">
        <v>6</v>
      </c>
      <c r="B7" s="8" t="inlineStr">
        <is>
          <t>2 Menu</t>
        </is>
      </c>
      <c r="C7" s="8" t="inlineStr">
        <is>
          <t>Create the term menu</t>
        </is>
      </c>
      <c r="D7" s="8" t="inlineStr">
        <is>
          <t>Process</t>
        </is>
      </c>
      <c r="E7" s="8" t="inlineStr">
        <is>
          <t>Nutrition Officer</t>
        </is>
      </c>
      <c r="F7" s="8" t="inlineStr">
        <is>
          <t>nutrition@demo.lishebora</t>
        </is>
      </c>
      <c r="G7" s="8" t="inlineStr">
        <is>
          <t>Plan › Menus &amp; terms</t>
        </is>
      </c>
      <c r="H7" s="8" t="inlineStr">
        <is>
          <t>New menu: 5 days (Mon–Fri) with dishes and portions in grams (e.g. ugali, beans, sukuma wiki, oil, salt).</t>
        </is>
      </c>
      <c r="I7" s="8" t="inlineStr">
        <is>
          <t>Menu saved as draft; the food-group summary shows whether it meets the diversity minimum.</t>
        </is>
      </c>
      <c r="J7" s="5" t="inlineStr"/>
      <c r="K7" s="5" t="inlineStr"/>
      <c r="L7" s="5" t="inlineStr"/>
      <c r="M7" s="5" t="inlineStr"/>
    </row>
    <row r="8">
      <c r="A8" s="8" t="n">
        <v>7</v>
      </c>
      <c r="B8" s="8" t="inlineStr">
        <is>
          <t>2 Menu</t>
        </is>
      </c>
      <c r="C8" s="8" t="inlineStr">
        <is>
          <t>Submit the menu</t>
        </is>
      </c>
      <c r="D8" s="8" t="inlineStr">
        <is>
          <t>Process</t>
        </is>
      </c>
      <c r="E8" s="8" t="inlineStr">
        <is>
          <t>Nutrition Officer</t>
        </is>
      </c>
      <c r="F8" s="8" t="inlineStr">
        <is>
          <t>nutrition@demo.lishebora</t>
        </is>
      </c>
      <c r="G8" s="8" t="inlineStr">
        <is>
          <t>Plan › Menus &amp; terms</t>
        </is>
      </c>
      <c r="H8" s="8" t="inlineStr">
        <is>
          <t>Submit the menu for validation.</t>
        </is>
      </c>
      <c r="I8" s="8" t="inlineStr">
        <is>
          <t>Status ‘submitted’; appears in the procurement officer’s ‘My approvals’.</t>
        </is>
      </c>
      <c r="J8" s="5" t="inlineStr"/>
      <c r="K8" s="5" t="inlineStr"/>
      <c r="L8" s="5" t="inlineStr"/>
      <c r="M8" s="5" t="inlineStr"/>
    </row>
    <row r="9">
      <c r="A9" s="8" t="n">
        <v>8</v>
      </c>
      <c r="B9" s="8" t="inlineStr">
        <is>
          <t>2 Menu</t>
        </is>
      </c>
      <c r="C9" s="8" t="inlineStr">
        <is>
          <t>Cannot approve own menu</t>
        </is>
      </c>
      <c r="D9" s="9" t="inlineStr">
        <is>
          <t>Control</t>
        </is>
      </c>
      <c r="E9" s="8" t="inlineStr">
        <is>
          <t>Nutrition Officer</t>
        </is>
      </c>
      <c r="F9" s="8" t="inlineStr">
        <is>
          <t>nutrition@demo.lishebora</t>
        </is>
      </c>
      <c r="G9" s="8" t="inlineStr">
        <is>
          <t>Overview › My approvals</t>
        </is>
      </c>
      <c r="H9" s="8" t="inlineStr">
        <is>
          <t>Look for an approve button on your own menu.</t>
        </is>
      </c>
      <c r="I9" s="8" t="inlineStr">
        <is>
          <t>Not available / refused.</t>
        </is>
      </c>
      <c r="J9" s="5" t="inlineStr"/>
      <c r="K9" s="5" t="inlineStr"/>
      <c r="L9" s="5" t="inlineStr"/>
      <c r="M9" s="5" t="inlineStr"/>
    </row>
    <row r="10">
      <c r="A10" s="8" t="n">
        <v>9</v>
      </c>
      <c r="B10" s="8" t="inlineStr">
        <is>
          <t>2 Menu</t>
        </is>
      </c>
      <c r="C10" s="8" t="inlineStr">
        <is>
          <t>Return needs a reason</t>
        </is>
      </c>
      <c r="D10" s="9" t="inlineStr">
        <is>
          <t>Control</t>
        </is>
      </c>
      <c r="E10" s="8" t="inlineStr">
        <is>
          <t>County Procurement Officer</t>
        </is>
      </c>
      <c r="F10" s="8" t="inlineStr">
        <is>
          <t>procurement@demo.lishebora</t>
        </is>
      </c>
      <c r="G10" s="8" t="inlineStr">
        <is>
          <t>Overview › My approvals</t>
        </is>
      </c>
      <c r="H10" s="8" t="inlineStr">
        <is>
          <t>Choose ‘Return’ without typing a reason.</t>
        </is>
      </c>
      <c r="I10" s="8" t="inlineStr">
        <is>
          <t>Refused until a reason is given.</t>
        </is>
      </c>
      <c r="J10" s="5" t="inlineStr"/>
      <c r="K10" s="5" t="inlineStr"/>
      <c r="L10" s="5" t="inlineStr"/>
      <c r="M10" s="5" t="inlineStr"/>
    </row>
    <row r="11">
      <c r="A11" s="8" t="n">
        <v>10</v>
      </c>
      <c r="B11" s="8" t="inlineStr">
        <is>
          <t>2 Menu</t>
        </is>
      </c>
      <c r="C11" s="8" t="inlineStr">
        <is>
          <t>Approve the menu</t>
        </is>
      </c>
      <c r="D11" s="8" t="inlineStr">
        <is>
          <t>Process</t>
        </is>
      </c>
      <c r="E11" s="8" t="inlineStr">
        <is>
          <t>County Procurement Officer</t>
        </is>
      </c>
      <c r="F11" s="8" t="inlineStr">
        <is>
          <t>procurement@demo.lishebora</t>
        </is>
      </c>
      <c r="G11" s="8" t="inlineStr">
        <is>
          <t>Overview › My approvals</t>
        </is>
      </c>
      <c r="H11" s="8" t="inlineStr">
        <is>
          <t>Approve the menu.</t>
        </is>
      </c>
      <c r="I11" s="8" t="inlineStr">
        <is>
          <t>Menu status ‘approved’; it can now be chosen for school demand.</t>
        </is>
      </c>
      <c r="J11" s="5" t="inlineStr"/>
      <c r="K11" s="5" t="inlineStr"/>
      <c r="L11" s="5" t="inlineStr"/>
      <c r="M11" s="5" t="inlineStr"/>
    </row>
    <row r="12">
      <c r="A12" s="6" t="n">
        <v>11</v>
      </c>
      <c r="B12" s="6" t="inlineStr">
        <is>
          <t>3 School demand</t>
        </is>
      </c>
      <c r="C12" s="6" t="inlineStr">
        <is>
          <t>Record school demand</t>
        </is>
      </c>
      <c r="D12" s="6" t="inlineStr">
        <is>
          <t>Process</t>
        </is>
      </c>
      <c r="E12" s="6" t="inlineStr">
        <is>
          <t>School Meals Officer</t>
        </is>
      </c>
      <c r="F12" s="6" t="inlineStr">
        <is>
          <t>meals.officer@demo.lishebora</t>
        </is>
      </c>
      <c r="G12" s="6" t="inlineStr">
        <is>
          <t>Plan › School demand</t>
        </is>
      </c>
      <c r="H12" s="6" t="inlineStr">
        <is>
          <t>New demand for Kalulini, Term 3 2026, the approved menu. Learners (pre-filled from enrolment, adjust if needed), attendance 95 %, 40 feeding days, wastage 3 %, food already in stock.</t>
        </is>
      </c>
      <c r="I12" s="6" t="inlineStr">
        <is>
          <t>Quantities per food item are calculated; no red (blocking) flags.</t>
        </is>
      </c>
      <c r="J12" s="5" t="inlineStr"/>
      <c r="K12" s="5" t="inlineStr"/>
      <c r="L12" s="5" t="inlineStr"/>
      <c r="M12" s="5" t="inlineStr"/>
    </row>
    <row r="13">
      <c r="A13" s="6" t="n">
        <v>12</v>
      </c>
      <c r="B13" s="6" t="inlineStr">
        <is>
          <t>3 School demand</t>
        </is>
      </c>
      <c r="C13" s="6" t="inlineStr">
        <is>
          <t>Too many feeding days is blocked</t>
        </is>
      </c>
      <c r="D13" s="7" t="inlineStr">
        <is>
          <t>Control</t>
        </is>
      </c>
      <c r="E13" s="6" t="inlineStr">
        <is>
          <t>School Meals Officer</t>
        </is>
      </c>
      <c r="F13" s="6" t="inlineStr">
        <is>
          <t>meals.officer@demo.lishebora</t>
        </is>
      </c>
      <c r="G13" s="6" t="inlineStr">
        <is>
          <t>Plan › School demand</t>
        </is>
      </c>
      <c r="H13" s="6" t="inlineStr">
        <is>
          <t>Change feeding days to 120 and try to submit.</t>
        </is>
      </c>
      <c r="I13" s="6" t="inlineStr">
        <is>
          <t>Flag ‘feeding days’ and submission refused. Set it back to 40.</t>
        </is>
      </c>
      <c r="J13" s="5" t="inlineStr"/>
      <c r="K13" s="5" t="inlineStr"/>
      <c r="L13" s="5" t="inlineStr"/>
      <c r="M13" s="5" t="inlineStr"/>
    </row>
    <row r="14">
      <c r="A14" s="6" t="n">
        <v>13</v>
      </c>
      <c r="B14" s="6" t="inlineStr">
        <is>
          <t>3 School demand</t>
        </is>
      </c>
      <c r="C14" s="6" t="inlineStr">
        <is>
          <t>Submit the demand</t>
        </is>
      </c>
      <c r="D14" s="6" t="inlineStr">
        <is>
          <t>Process</t>
        </is>
      </c>
      <c r="E14" s="6" t="inlineStr">
        <is>
          <t>School Meals Officer</t>
        </is>
      </c>
      <c r="F14" s="6" t="inlineStr">
        <is>
          <t>meals.officer@demo.lishebora</t>
        </is>
      </c>
      <c r="G14" s="6" t="inlineStr">
        <is>
          <t>Plan › School demand</t>
        </is>
      </c>
      <c r="H14" s="6" t="inlineStr">
        <is>
          <t>Submit.</t>
        </is>
      </c>
      <c r="I14" s="6" t="inlineStr">
        <is>
          <t>Status ‘submitted’.</t>
        </is>
      </c>
      <c r="J14" s="5" t="inlineStr"/>
      <c r="K14" s="5" t="inlineStr"/>
      <c r="L14" s="5" t="inlineStr"/>
      <c r="M14" s="5" t="inlineStr"/>
    </row>
    <row r="15">
      <c r="A15" s="6" t="n">
        <v>14</v>
      </c>
      <c r="B15" s="6" t="inlineStr">
        <is>
          <t>3 School demand</t>
        </is>
      </c>
      <c r="C15" s="6" t="inlineStr">
        <is>
          <t>Cannot approve own demand</t>
        </is>
      </c>
      <c r="D15" s="7" t="inlineStr">
        <is>
          <t>Control</t>
        </is>
      </c>
      <c r="E15" s="6" t="inlineStr">
        <is>
          <t>School Meals Officer</t>
        </is>
      </c>
      <c r="F15" s="6" t="inlineStr">
        <is>
          <t>meals.officer@demo.lishebora</t>
        </is>
      </c>
      <c r="G15" s="6" t="inlineStr">
        <is>
          <t>Overview › My approvals</t>
        </is>
      </c>
      <c r="H15" s="6" t="inlineStr">
        <is>
          <t>Check whether you can approve it.</t>
        </is>
      </c>
      <c r="I15" s="6" t="inlineStr">
        <is>
          <t>Not possible.</t>
        </is>
      </c>
      <c r="J15" s="5" t="inlineStr"/>
      <c r="K15" s="5" t="inlineStr"/>
      <c r="L15" s="5" t="inlineStr"/>
      <c r="M15" s="5" t="inlineStr"/>
    </row>
    <row r="16">
      <c r="A16" s="6" t="n">
        <v>15</v>
      </c>
      <c r="B16" s="6" t="inlineStr">
        <is>
          <t>3 School demand</t>
        </is>
      </c>
      <c r="C16" s="6" t="inlineStr">
        <is>
          <t>Validate and approve the demand</t>
        </is>
      </c>
      <c r="D16" s="6" t="inlineStr">
        <is>
          <t>Process</t>
        </is>
      </c>
      <c r="E16" s="6" t="inlineStr">
        <is>
          <t>School Administrator</t>
        </is>
      </c>
      <c r="F16" s="6" t="inlineStr">
        <is>
          <t>school.admin@demo.lishebora</t>
        </is>
      </c>
      <c r="G16" s="6" t="inlineStr">
        <is>
          <t>Overview › My approvals</t>
        </is>
      </c>
      <c r="H16" s="6" t="inlineStr">
        <is>
          <t>Validate, then approve (two steps).</t>
        </is>
      </c>
      <c r="I16" s="6" t="inlineStr">
        <is>
          <t>Demand status ‘approved’.</t>
        </is>
      </c>
      <c r="J16" s="5" t="inlineStr"/>
      <c r="K16" s="5" t="inlineStr"/>
      <c r="L16" s="5" t="inlineStr"/>
      <c r="M16" s="5" t="inlineStr"/>
    </row>
    <row r="17">
      <c r="A17" s="6" t="n">
        <v>16</v>
      </c>
      <c r="B17" s="6" t="inlineStr">
        <is>
          <t>3 School demand</t>
        </is>
      </c>
      <c r="C17" s="6" t="inlineStr">
        <is>
          <t>Approved demand is locked</t>
        </is>
      </c>
      <c r="D17" s="7" t="inlineStr">
        <is>
          <t>Control</t>
        </is>
      </c>
      <c r="E17" s="6" t="inlineStr">
        <is>
          <t>School Meals Officer</t>
        </is>
      </c>
      <c r="F17" s="6" t="inlineStr">
        <is>
          <t>meals.officer@demo.lishebora</t>
        </is>
      </c>
      <c r="G17" s="6" t="inlineStr">
        <is>
          <t>Plan › School demand</t>
        </is>
      </c>
      <c r="H17" s="6" t="inlineStr">
        <is>
          <t>Try to edit the approved demand.</t>
        </is>
      </c>
      <c r="I17" s="6" t="inlineStr">
        <is>
          <t>Editing refused (locked).</t>
        </is>
      </c>
      <c r="J17" s="5" t="inlineStr"/>
      <c r="K17" s="5" t="inlineStr"/>
      <c r="L17" s="5" t="inlineStr"/>
      <c r="M17" s="5" t="inlineStr"/>
    </row>
    <row r="18">
      <c r="A18" s="8" t="n">
        <v>17</v>
      </c>
      <c r="B18" s="8" t="inlineStr">
        <is>
          <t>4 Budget &amp; plan</t>
        </is>
      </c>
      <c r="C18" s="8" t="inlineStr">
        <is>
          <t>Create the budget line</t>
        </is>
      </c>
      <c r="D18" s="8" t="inlineStr">
        <is>
          <t>Process</t>
        </is>
      </c>
      <c r="E18" s="8" t="inlineStr">
        <is>
          <t>County Finance Officer</t>
        </is>
      </c>
      <c r="F18" s="8" t="inlineStr">
        <is>
          <t>finance@demo.lishebora</t>
        </is>
      </c>
      <c r="G18" s="8" t="inlineStr">
        <is>
          <t>Plan › Budgets</t>
        </is>
      </c>
      <c r="H18" s="8" t="inlineStr">
        <is>
          <t>New budget line for Makueni, Term 3 dates, funding source, approved amount (test figure).</t>
        </is>
      </c>
      <c r="I18" s="8" t="inlineStr">
        <is>
          <t>Budget line shows approved, committed and available amounts.</t>
        </is>
      </c>
      <c r="J18" s="5" t="inlineStr"/>
      <c r="K18" s="5" t="inlineStr"/>
      <c r="L18" s="5" t="inlineStr"/>
      <c r="M18" s="5" t="inlineStr"/>
    </row>
    <row r="19">
      <c r="A19" s="8" t="n">
        <v>18</v>
      </c>
      <c r="B19" s="8" t="inlineStr">
        <is>
          <t>4 Budget &amp; plan</t>
        </is>
      </c>
      <c r="C19" s="8" t="inlineStr">
        <is>
          <t>Build the procurement plan</t>
        </is>
      </c>
      <c r="D19" s="8" t="inlineStr">
        <is>
          <t>Process</t>
        </is>
      </c>
      <c r="E19" s="8" t="inlineStr">
        <is>
          <t>County Procurement Officer</t>
        </is>
      </c>
      <c r="F19" s="8" t="inlineStr">
        <is>
          <t>procurement@demo.lishebora</t>
        </is>
      </c>
      <c r="G19" s="8" t="inlineStr">
        <is>
          <t>Plan › Procurement plans</t>
        </is>
      </c>
      <c r="H19" s="8" t="inlineStr">
        <is>
          <t>Preview then create the plan for Makueni, Term 3 (grouped by county). Link the budget line.</t>
        </is>
      </c>
      <c r="I19" s="8" t="inlineStr">
        <is>
          <t>Plan lists every food item with quantities, schools and estimated value; no unpriced lines.</t>
        </is>
      </c>
      <c r="J19" s="5" t="inlineStr"/>
      <c r="K19" s="5" t="inlineStr"/>
      <c r="L19" s="5" t="inlineStr"/>
      <c r="M19" s="5" t="inlineStr"/>
    </row>
    <row r="20">
      <c r="A20" s="8" t="n">
        <v>19</v>
      </c>
      <c r="B20" s="8" t="inlineStr">
        <is>
          <t>4 Budget &amp; plan</t>
        </is>
      </c>
      <c r="C20" s="8" t="inlineStr">
        <is>
          <t>Submit the plan</t>
        </is>
      </c>
      <c r="D20" s="8" t="inlineStr">
        <is>
          <t>Process</t>
        </is>
      </c>
      <c r="E20" s="8" t="inlineStr">
        <is>
          <t>County Procurement Officer</t>
        </is>
      </c>
      <c r="F20" s="8" t="inlineStr">
        <is>
          <t>procurement@demo.lishebora</t>
        </is>
      </c>
      <c r="G20" s="8" t="inlineStr">
        <is>
          <t>Plan › Procurement plans</t>
        </is>
      </c>
      <c r="H20" s="8" t="inlineStr">
        <is>
          <t>Submit.</t>
        </is>
      </c>
      <c r="I20" s="8" t="inlineStr">
        <is>
          <t>Waits for the budget confirmation step.</t>
        </is>
      </c>
      <c r="J20" s="5" t="inlineStr"/>
      <c r="K20" s="5" t="inlineStr"/>
      <c r="L20" s="5" t="inlineStr"/>
      <c r="M20" s="5" t="inlineStr"/>
    </row>
    <row r="21">
      <c r="A21" s="8" t="n">
        <v>20</v>
      </c>
      <c r="B21" s="8" t="inlineStr">
        <is>
          <t>4 Budget &amp; plan</t>
        </is>
      </c>
      <c r="C21" s="8" t="inlineStr">
        <is>
          <t>County admin cannot skip the finance step</t>
        </is>
      </c>
      <c r="D21" s="9" t="inlineStr">
        <is>
          <t>Control</t>
        </is>
      </c>
      <c r="E21" s="8" t="inlineStr">
        <is>
          <t>County Administrator</t>
        </is>
      </c>
      <c r="F21" s="8" t="inlineStr">
        <is>
          <t>county.admin@demo.lishebora</t>
        </is>
      </c>
      <c r="G21" s="8" t="inlineStr">
        <is>
          <t>Overview › My approvals</t>
        </is>
      </c>
      <c r="H21" s="8" t="inlineStr">
        <is>
          <t>Try to approve before finance.</t>
        </is>
      </c>
      <c r="I21" s="8" t="inlineStr">
        <is>
          <t>Refused / not shown yet.</t>
        </is>
      </c>
      <c r="J21" s="5" t="inlineStr"/>
      <c r="K21" s="5" t="inlineStr"/>
      <c r="L21" s="5" t="inlineStr"/>
      <c r="M21" s="5" t="inlineStr"/>
    </row>
    <row r="22">
      <c r="A22" s="8" t="n">
        <v>21</v>
      </c>
      <c r="B22" s="8" t="inlineStr">
        <is>
          <t>4 Budget &amp; plan</t>
        </is>
      </c>
      <c r="C22" s="8" t="inlineStr">
        <is>
          <t>Confirm the budget</t>
        </is>
      </c>
      <c r="D22" s="8" t="inlineStr">
        <is>
          <t>Process</t>
        </is>
      </c>
      <c r="E22" s="8" t="inlineStr">
        <is>
          <t>County Finance Officer</t>
        </is>
      </c>
      <c r="F22" s="8" t="inlineStr">
        <is>
          <t>finance@demo.lishebora</t>
        </is>
      </c>
      <c r="G22" s="8" t="inlineStr">
        <is>
          <t>Overview › My approvals</t>
        </is>
      </c>
      <c r="H22" s="8" t="inlineStr">
        <is>
          <t>Approve the budget step.</t>
        </is>
      </c>
      <c r="I22" s="8" t="inlineStr">
        <is>
          <t>Moves to county approval.</t>
        </is>
      </c>
      <c r="J22" s="5" t="inlineStr"/>
      <c r="K22" s="5" t="inlineStr"/>
      <c r="L22" s="5" t="inlineStr"/>
      <c r="M22" s="5" t="inlineStr"/>
    </row>
    <row r="23">
      <c r="A23" s="8" t="n">
        <v>22</v>
      </c>
      <c r="B23" s="8" t="inlineStr">
        <is>
          <t>4 Budget &amp; plan</t>
        </is>
      </c>
      <c r="C23" s="8" t="inlineStr">
        <is>
          <t>Approve the plan</t>
        </is>
      </c>
      <c r="D23" s="8" t="inlineStr">
        <is>
          <t>Process</t>
        </is>
      </c>
      <c r="E23" s="8" t="inlineStr">
        <is>
          <t>County Administrator</t>
        </is>
      </c>
      <c r="F23" s="8" t="inlineStr">
        <is>
          <t>county.admin@demo.lishebora</t>
        </is>
      </c>
      <c r="G23" s="8" t="inlineStr">
        <is>
          <t>Overview › My approvals</t>
        </is>
      </c>
      <c r="H23" s="8" t="inlineStr">
        <is>
          <t>Approve.</t>
        </is>
      </c>
      <c r="I23" s="8" t="inlineStr">
        <is>
          <t>Plan ‘approved’; budget line shows the amount earmarked.</t>
        </is>
      </c>
      <c r="J23" s="5" t="inlineStr"/>
      <c r="K23" s="5" t="inlineStr"/>
      <c r="L23" s="5" t="inlineStr"/>
      <c r="M23" s="5" t="inlineStr"/>
    </row>
    <row r="24">
      <c r="A24" s="6" t="n">
        <v>23</v>
      </c>
      <c r="B24" s="6" t="inlineStr">
        <is>
          <t>5 Supplier onboarding</t>
        </is>
      </c>
      <c r="C24" s="6" t="inlineStr">
        <is>
          <t>Register a new supplier</t>
        </is>
      </c>
      <c r="D24" s="6" t="inlineStr">
        <is>
          <t>Process</t>
        </is>
      </c>
      <c r="E24" s="6" t="inlineStr">
        <is>
          <t>New supplier</t>
        </is>
      </c>
      <c r="F24" s="6" t="inlineStr">
        <is>
          <t>your new supplier account</t>
        </is>
      </c>
      <c r="G24" s="6" t="inlineStr">
        <is>
          <t>Website › Register</t>
        </is>
      </c>
      <c r="H24" s="6" t="inlineStr">
        <is>
          <t>Register a test farmer group with a mobile number you can use (or one made up for the test), Makueni County, the foods it supplies. Enter the SMS code shown on screen (demo mode).</t>
        </is>
      </c>
      <c r="I24" s="6" t="inlineStr">
        <is>
          <t>Account created and signed in; profile status ‘submitted’.</t>
        </is>
      </c>
      <c r="J24" s="5" t="inlineStr"/>
      <c r="K24" s="5" t="inlineStr"/>
      <c r="L24" s="5" t="inlineStr"/>
      <c r="M24" s="5" t="inlineStr"/>
    </row>
    <row r="25">
      <c r="A25" s="6" t="n">
        <v>24</v>
      </c>
      <c r="B25" s="6" t="inlineStr">
        <is>
          <t>5 Supplier onboarding</t>
        </is>
      </c>
      <c r="C25" s="6" t="inlineStr">
        <is>
          <t>Upload documents</t>
        </is>
      </c>
      <c r="D25" s="6" t="inlineStr">
        <is>
          <t>Process</t>
        </is>
      </c>
      <c r="E25" s="6" t="inlineStr">
        <is>
          <t>New supplier</t>
        </is>
      </c>
      <c r="F25" s="6" t="inlineStr">
        <is>
          <t>your new supplier account</t>
        </is>
      </c>
      <c r="G25" s="6" t="inlineStr">
        <is>
          <t>Supplier › My supplier profile</t>
        </is>
      </c>
      <c r="H25" s="6" t="inlineStr">
        <is>
          <t>Upload the registration certificate and bank letter (any PDF for the test).</t>
        </is>
      </c>
      <c r="I25" s="6" t="inlineStr">
        <is>
          <t>Documents listed as ‘pending’.</t>
        </is>
      </c>
      <c r="J25" s="5" t="inlineStr"/>
      <c r="K25" s="5" t="inlineStr"/>
      <c r="L25" s="5" t="inlineStr"/>
      <c r="M25" s="5" t="inlineStr"/>
    </row>
    <row r="26">
      <c r="A26" s="6" t="n">
        <v>25</v>
      </c>
      <c r="B26" s="6" t="inlineStr">
        <is>
          <t>5 Supplier onboarding</t>
        </is>
      </c>
      <c r="C26" s="6" t="inlineStr">
        <is>
          <t>Review the supplier</t>
        </is>
      </c>
      <c r="D26" s="6" t="inlineStr">
        <is>
          <t>Process</t>
        </is>
      </c>
      <c r="E26" s="6" t="inlineStr">
        <is>
          <t>County Procurement Officer</t>
        </is>
      </c>
      <c r="F26" s="6" t="inlineStr">
        <is>
          <t>procurement@demo.lishebora</t>
        </is>
      </c>
      <c r="G26" s="6" t="inlineStr">
        <is>
          <t>Source › Supplier registry</t>
        </is>
      </c>
      <c r="H26" s="6" t="inlineStr">
        <is>
          <t>Open the new supplier, mark ‘under review’, verify each document.</t>
        </is>
      </c>
      <c r="I26" s="6" t="inlineStr">
        <is>
          <t>Documents ‘verified’.</t>
        </is>
      </c>
      <c r="J26" s="5" t="inlineStr"/>
      <c r="K26" s="5" t="inlineStr"/>
      <c r="L26" s="5" t="inlineStr"/>
      <c r="M26" s="5" t="inlineStr"/>
    </row>
    <row r="27">
      <c r="A27" s="6" t="n">
        <v>26</v>
      </c>
      <c r="B27" s="6" t="inlineStr">
        <is>
          <t>5 Supplier onboarding</t>
        </is>
      </c>
      <c r="C27" s="6" t="inlineStr">
        <is>
          <t>Procurement officer cannot approve suppliers</t>
        </is>
      </c>
      <c r="D27" s="7" t="inlineStr">
        <is>
          <t>Control</t>
        </is>
      </c>
      <c r="E27" s="6" t="inlineStr">
        <is>
          <t>County Procurement Officer</t>
        </is>
      </c>
      <c r="F27" s="6" t="inlineStr">
        <is>
          <t>procurement@demo.lishebora</t>
        </is>
      </c>
      <c r="G27" s="6" t="inlineStr">
        <is>
          <t>Source › Supplier registry</t>
        </is>
      </c>
      <c r="H27" s="6" t="inlineStr">
        <is>
          <t>Try ‘approve’.</t>
        </is>
      </c>
      <c r="I27" s="6" t="inlineStr">
        <is>
          <t>Refused – the county administrator approves.</t>
        </is>
      </c>
      <c r="J27" s="5" t="inlineStr"/>
      <c r="K27" s="5" t="inlineStr"/>
      <c r="L27" s="5" t="inlineStr"/>
      <c r="M27" s="5" t="inlineStr"/>
    </row>
    <row r="28">
      <c r="A28" s="6" t="n">
        <v>27</v>
      </c>
      <c r="B28" s="6" t="inlineStr">
        <is>
          <t>5 Supplier onboarding</t>
        </is>
      </c>
      <c r="C28" s="6" t="inlineStr">
        <is>
          <t>Approve and prequalify</t>
        </is>
      </c>
      <c r="D28" s="6" t="inlineStr">
        <is>
          <t>Process</t>
        </is>
      </c>
      <c r="E28" s="6" t="inlineStr">
        <is>
          <t>County Administrator</t>
        </is>
      </c>
      <c r="F28" s="6" t="inlineStr">
        <is>
          <t>county.admin@demo.lishebora</t>
        </is>
      </c>
      <c r="G28" s="6" t="inlineStr">
        <is>
          <t>Source › Supplier registry</t>
        </is>
      </c>
      <c r="H28" s="6" t="inlineStr">
        <is>
          <t>Approve, then prequalify for its food categories (e.g. legumes, vegetables, fruits).</t>
        </is>
      </c>
      <c r="I28" s="6" t="inlineStr">
        <is>
          <t>Status ‘prequalified’; the supplier can now bid.</t>
        </is>
      </c>
      <c r="J28" s="5" t="inlineStr"/>
      <c r="K28" s="5" t="inlineStr"/>
      <c r="L28" s="5" t="inlineStr"/>
      <c r="M28" s="5" t="inlineStr"/>
    </row>
    <row r="29">
      <c r="A29" s="8" t="n">
        <v>28</v>
      </c>
      <c r="B29" s="8" t="inlineStr">
        <is>
          <t>6 Sourcing</t>
        </is>
      </c>
      <c r="C29" s="8" t="inlineStr">
        <is>
          <t>Create the sourcing event</t>
        </is>
      </c>
      <c r="D29" s="8" t="inlineStr">
        <is>
          <t>Process</t>
        </is>
      </c>
      <c r="E29" s="8" t="inlineStr">
        <is>
          <t>County Procurement Officer</t>
        </is>
      </c>
      <c r="F29" s="8" t="inlineStr">
        <is>
          <t>procurement@demo.lishebora</t>
        </is>
      </c>
      <c r="G29" s="8" t="inlineStr">
        <is>
          <t>Plan › Procurement plans › (plan) or Source › Sourcing events</t>
        </is>
      </c>
      <c r="H29" s="8" t="inlineStr">
        <is>
          <t>Create the event from the approved plan. Set the closing time at least 1 hour 15 minutes from now (the system requires more than 1 hour).</t>
        </is>
      </c>
      <c r="I29" s="8" t="inlineStr">
        <is>
          <t>Draft event with one lot per food item.</t>
        </is>
      </c>
      <c r="J29" s="5" t="inlineStr"/>
      <c r="K29" s="5" t="inlineStr"/>
      <c r="L29" s="5" t="inlineStr"/>
      <c r="M29" s="5" t="inlineStr"/>
    </row>
    <row r="30">
      <c r="A30" s="8" t="n">
        <v>29</v>
      </c>
      <c r="B30" s="8" t="inlineStr">
        <is>
          <t>6 Sourcing</t>
        </is>
      </c>
      <c r="C30" s="8" t="inlineStr">
        <is>
          <t>Weights must add up to 100</t>
        </is>
      </c>
      <c r="D30" s="9" t="inlineStr">
        <is>
          <t>Control</t>
        </is>
      </c>
      <c r="E30" s="8" t="inlineStr">
        <is>
          <t>County Procurement Officer</t>
        </is>
      </c>
      <c r="F30" s="8" t="inlineStr">
        <is>
          <t>procurement@demo.lishebora</t>
        </is>
      </c>
      <c r="G30" s="8" t="inlineStr">
        <is>
          <t>Source › Sourcing events</t>
        </is>
      </c>
      <c r="H30" s="8" t="inlineStr">
        <is>
          <t>Set technical weight to 70 without changing price weight; save.</t>
        </is>
      </c>
      <c r="I30" s="8" t="inlineStr">
        <is>
          <t>Refused.</t>
        </is>
      </c>
      <c r="J30" s="5" t="inlineStr"/>
      <c r="K30" s="5" t="inlineStr"/>
      <c r="L30" s="5" t="inlineStr"/>
      <c r="M30" s="5" t="inlineStr"/>
    </row>
    <row r="31">
      <c r="A31" s="8" t="n">
        <v>30</v>
      </c>
      <c r="B31" s="8" t="inlineStr">
        <is>
          <t>6 Sourcing</t>
        </is>
      </c>
      <c r="C31" s="8" t="inlineStr">
        <is>
          <t>Submit the event</t>
        </is>
      </c>
      <c r="D31" s="8" t="inlineStr">
        <is>
          <t>Process</t>
        </is>
      </c>
      <c r="E31" s="8" t="inlineStr">
        <is>
          <t>County Procurement Officer</t>
        </is>
      </c>
      <c r="F31" s="8" t="inlineStr">
        <is>
          <t>procurement@demo.lishebora</t>
        </is>
      </c>
      <c r="G31" s="8" t="inlineStr">
        <is>
          <t>Source › Sourcing events</t>
        </is>
      </c>
      <c r="H31" s="8" t="inlineStr">
        <is>
          <t>Submit for approval.</t>
        </is>
      </c>
      <c r="I31" s="8" t="inlineStr">
        <is>
          <t>Waits for the approving officer.</t>
        </is>
      </c>
      <c r="J31" s="5" t="inlineStr"/>
      <c r="K31" s="5" t="inlineStr"/>
      <c r="L31" s="5" t="inlineStr"/>
      <c r="M31" s="5" t="inlineStr"/>
    </row>
    <row r="32">
      <c r="A32" s="8" t="n">
        <v>31</v>
      </c>
      <c r="B32" s="8" t="inlineStr">
        <is>
          <t>6 Sourcing</t>
        </is>
      </c>
      <c r="C32" s="8" t="inlineStr">
        <is>
          <t>Cannot approve own event</t>
        </is>
      </c>
      <c r="D32" s="9" t="inlineStr">
        <is>
          <t>Control</t>
        </is>
      </c>
      <c r="E32" s="8" t="inlineStr">
        <is>
          <t>County Procurement Officer</t>
        </is>
      </c>
      <c r="F32" s="8" t="inlineStr">
        <is>
          <t>procurement@demo.lishebora</t>
        </is>
      </c>
      <c r="G32" s="8" t="inlineStr">
        <is>
          <t>Overview › My approvals</t>
        </is>
      </c>
      <c r="H32" s="8" t="inlineStr">
        <is>
          <t>Check for approve.</t>
        </is>
      </c>
      <c r="I32" s="8" t="inlineStr">
        <is>
          <t>Not possible.</t>
        </is>
      </c>
      <c r="J32" s="5" t="inlineStr"/>
      <c r="K32" s="5" t="inlineStr"/>
      <c r="L32" s="5" t="inlineStr"/>
      <c r="M32" s="5" t="inlineStr"/>
    </row>
    <row r="33">
      <c r="A33" s="8" t="n">
        <v>32</v>
      </c>
      <c r="B33" s="8" t="inlineStr">
        <is>
          <t>6 Sourcing</t>
        </is>
      </c>
      <c r="C33" s="8" t="inlineStr">
        <is>
          <t>Approve and publish</t>
        </is>
      </c>
      <c r="D33" s="8" t="inlineStr">
        <is>
          <t>Process</t>
        </is>
      </c>
      <c r="E33" s="8" t="inlineStr">
        <is>
          <t>Approving Officer</t>
        </is>
      </c>
      <c r="F33" s="8" t="inlineStr">
        <is>
          <t>approver@demo.lishebora</t>
        </is>
      </c>
      <c r="G33" s="8" t="inlineStr">
        <is>
          <t>Overview › My approvals</t>
        </is>
      </c>
      <c r="H33" s="8" t="inlineStr">
        <is>
          <t>Approve.</t>
        </is>
      </c>
      <c r="I33" s="8" t="inlineStr">
        <is>
          <t>Event ‘open’; visible on the public Opportunities page.</t>
        </is>
      </c>
      <c r="J33" s="5" t="inlineStr"/>
      <c r="K33" s="5" t="inlineStr"/>
      <c r="L33" s="5" t="inlineStr"/>
      <c r="M33" s="5" t="inlineStr"/>
    </row>
    <row r="34">
      <c r="A34" s="8" t="n">
        <v>33</v>
      </c>
      <c r="B34" s="8" t="inlineStr">
        <is>
          <t>6 Sourcing</t>
        </is>
      </c>
      <c r="C34" s="8" t="inlineStr">
        <is>
          <t>Suppliers are notified</t>
        </is>
      </c>
      <c r="D34" s="8" t="inlineStr">
        <is>
          <t>Process</t>
        </is>
      </c>
      <c r="E34" s="8" t="inlineStr">
        <is>
          <t>Supplier – Umoja Farmers Cooperative (demo)</t>
        </is>
      </c>
      <c r="F34" s="8" t="inlineStr">
        <is>
          <t>supplier1@demo.lishebora</t>
        </is>
      </c>
      <c r="G34" s="8" t="inlineStr">
        <is>
          <t>Account › Notifications</t>
        </is>
      </c>
      <c r="H34" s="8" t="inlineStr">
        <is>
          <t>Check notifications.</t>
        </is>
      </c>
      <c r="I34" s="8" t="inlineStr">
        <is>
          <t>‘New opportunity’ notification.</t>
        </is>
      </c>
      <c r="J34" s="5" t="inlineStr"/>
      <c r="K34" s="5" t="inlineStr"/>
      <c r="L34" s="5" t="inlineStr"/>
      <c r="M34" s="5" t="inlineStr"/>
    </row>
    <row r="35">
      <c r="A35" s="8" t="n">
        <v>34</v>
      </c>
      <c r="B35" s="8" t="inlineStr">
        <is>
          <t>6 Sourcing</t>
        </is>
      </c>
      <c r="C35" s="8" t="inlineStr">
        <is>
          <t>Submit bids (3 suppliers)</t>
        </is>
      </c>
      <c r="D35" s="8" t="inlineStr">
        <is>
          <t>Process</t>
        </is>
      </c>
      <c r="E35" s="8" t="inlineStr">
        <is>
          <t>Supplier – Umoja Farmers Cooperative (demo)</t>
        </is>
      </c>
      <c r="F35" s="8" t="inlineStr">
        <is>
          <t>supplier1@demo.lishebora</t>
        </is>
      </c>
      <c r="G35" s="8" t="inlineStr">
        <is>
          <t>Supplier › Opportunities</t>
        </is>
      </c>
      <c r="H35" s="8" t="inlineStr">
        <is>
          <t>Supplier 1, supplier 2 and your new supplier each open the event, enter prices for the lots they supply and submit.</t>
        </is>
      </c>
      <c r="I35" s="8" t="inlineStr">
        <is>
          <t>Each gets a bid receipt number. The estimate is not shown to suppliers.</t>
        </is>
      </c>
      <c r="J35" s="5" t="inlineStr"/>
      <c r="K35" s="5" t="inlineStr"/>
      <c r="L35" s="5" t="inlineStr"/>
      <c r="M35" s="5" t="inlineStr"/>
    </row>
    <row r="36">
      <c r="A36" s="8" t="n">
        <v>35</v>
      </c>
      <c r="B36" s="8" t="inlineStr">
        <is>
          <t>6 Sourcing</t>
        </is>
      </c>
      <c r="C36" s="8" t="inlineStr">
        <is>
          <t>Bids stay sealed</t>
        </is>
      </c>
      <c r="D36" s="9" t="inlineStr">
        <is>
          <t>Control</t>
        </is>
      </c>
      <c r="E36" s="8" t="inlineStr">
        <is>
          <t>County Procurement Officer</t>
        </is>
      </c>
      <c r="F36" s="8" t="inlineStr">
        <is>
          <t>procurement@demo.lishebora</t>
        </is>
      </c>
      <c r="G36" s="8" t="inlineStr">
        <is>
          <t>Source › Sourcing events › (event) › Bids</t>
        </is>
      </c>
      <c r="H36" s="8" t="inlineStr">
        <is>
          <t>Look at the bids before the closing time; try ‘Open bids’.</t>
        </is>
      </c>
      <c r="I36" s="8" t="inlineStr">
        <is>
          <t>Only bidder names/receipts visible; opening refused before closing time.</t>
        </is>
      </c>
      <c r="J36" s="5" t="inlineStr"/>
      <c r="K36" s="5" t="inlineStr"/>
      <c r="L36" s="5" t="inlineStr"/>
      <c r="M36" s="5" t="inlineStr"/>
    </row>
    <row r="37">
      <c r="A37" s="8" t="n">
        <v>36</v>
      </c>
      <c r="B37" s="8" t="inlineStr">
        <is>
          <t>6 Sourcing</t>
        </is>
      </c>
      <c r="C37" s="8" t="inlineStr">
        <is>
          <t>Clarification question</t>
        </is>
      </c>
      <c r="D37" s="8" t="inlineStr">
        <is>
          <t>Process</t>
        </is>
      </c>
      <c r="E37" s="8" t="inlineStr">
        <is>
          <t>Supplier – Tumaini Grain Traders (demo)</t>
        </is>
      </c>
      <c r="F37" s="8" t="inlineStr">
        <is>
          <t>supplier2@demo.lishebora</t>
        </is>
      </c>
      <c r="G37" s="8" t="inlineStr">
        <is>
          <t>Supplier › Opportunities › (event)</t>
        </is>
      </c>
      <c r="H37" s="8" t="inlineStr">
        <is>
          <t>Ask a question; then the procurement officer answers it.</t>
        </is>
      </c>
      <c r="I37" s="8" t="inlineStr">
        <is>
          <t>All bidders see the answer.</t>
        </is>
      </c>
      <c r="J37" s="5" t="inlineStr"/>
      <c r="K37" s="5" t="inlineStr"/>
      <c r="L37" s="5" t="inlineStr"/>
      <c r="M37" s="5" t="inlineStr"/>
    </row>
    <row r="38">
      <c r="A38" s="8" t="n">
        <v>37</v>
      </c>
      <c r="B38" s="8" t="inlineStr">
        <is>
          <t>6 Sourcing</t>
        </is>
      </c>
      <c r="C38" s="8" t="inlineStr">
        <is>
          <t>Wait for the closing time</t>
        </is>
      </c>
      <c r="D38" s="8" t="inlineStr">
        <is>
          <t>Process</t>
        </is>
      </c>
      <c r="E38" s="8" t="inlineStr">
        <is>
          <t>—</t>
        </is>
      </c>
      <c r="F38" s="8" t="inlineStr">
        <is>
          <t>—</t>
        </is>
      </c>
      <c r="G38" s="8" t="inlineStr">
        <is>
          <t>—</t>
        </is>
      </c>
      <c r="H38" s="8" t="inlineStr">
        <is>
          <t>Do other stages meanwhile (e.g. stage 13 complaints, website news). After the closing time passes:</t>
        </is>
      </c>
      <c r="I38" s="8" t="inlineStr">
        <is>
          <t>Event shows ‘closed’.</t>
        </is>
      </c>
      <c r="J38" s="5" t="inlineStr"/>
      <c r="K38" s="5" t="inlineStr"/>
      <c r="L38" s="5" t="inlineStr"/>
      <c r="M38" s="5" t="inlineStr"/>
    </row>
    <row r="39">
      <c r="A39" s="8" t="n">
        <v>38</v>
      </c>
      <c r="B39" s="8" t="inlineStr">
        <is>
          <t>6 Sourcing</t>
        </is>
      </c>
      <c r="C39" s="8" t="inlineStr">
        <is>
          <t>Late bid refused; open bids</t>
        </is>
      </c>
      <c r="D39" s="8" t="inlineStr">
        <is>
          <t>Process</t>
        </is>
      </c>
      <c r="E39" s="8" t="inlineStr">
        <is>
          <t>County Procurement Officer</t>
        </is>
      </c>
      <c r="F39" s="8" t="inlineStr">
        <is>
          <t>procurement@demo.lishebora</t>
        </is>
      </c>
      <c r="G39" s="8" t="inlineStr">
        <is>
          <t>Source › Sourcing events › (event)</t>
        </is>
      </c>
      <c r="H39" s="8" t="inlineStr">
        <is>
          <t>Try a late bid as supplier 1 (refused), then open the bids as procurement officer.</t>
        </is>
      </c>
      <c r="I39" s="8" t="inlineStr">
        <is>
          <t>Bid register with prices.</t>
        </is>
      </c>
      <c r="J39" s="5" t="inlineStr"/>
      <c r="K39" s="5" t="inlineStr"/>
      <c r="L39" s="5" t="inlineStr"/>
      <c r="M39" s="5" t="inlineStr"/>
    </row>
    <row r="40">
      <c r="A40" s="8" t="n">
        <v>39</v>
      </c>
      <c r="B40" s="8" t="inlineStr">
        <is>
          <t>6 Sourcing</t>
        </is>
      </c>
      <c r="C40" s="8" t="inlineStr">
        <is>
          <t>Appoint 3 evaluators</t>
        </is>
      </c>
      <c r="D40" s="8" t="inlineStr">
        <is>
          <t>Process</t>
        </is>
      </c>
      <c r="E40" s="8" t="inlineStr">
        <is>
          <t>County Procurement Officer</t>
        </is>
      </c>
      <c r="F40" s="8" t="inlineStr">
        <is>
          <t>procurement@demo.lishebora</t>
        </is>
      </c>
      <c r="G40" s="8" t="inlineStr">
        <is>
          <t>Source › Sourcing events › (event) › Evaluation</t>
        </is>
      </c>
      <c r="H40" s="8" t="inlineStr">
        <is>
          <t>Choose Evaluator One, Two and Three. Try adding yourself.</t>
        </is>
      </c>
      <c r="I40" s="8" t="inlineStr">
        <is>
          <t>Panel saved; adding yourself refused (segregation of duties).</t>
        </is>
      </c>
      <c r="J40" s="5" t="inlineStr"/>
      <c r="K40" s="5" t="inlineStr"/>
      <c r="L40" s="5" t="inlineStr"/>
      <c r="M40" s="5" t="inlineStr"/>
    </row>
    <row r="41">
      <c r="A41" s="8" t="n">
        <v>40</v>
      </c>
      <c r="B41" s="8" t="inlineStr">
        <is>
          <t>6 Sourcing</t>
        </is>
      </c>
      <c r="C41" s="8" t="inlineStr">
        <is>
          <t>Declare conflict of interest and score</t>
        </is>
      </c>
      <c r="D41" s="8" t="inlineStr">
        <is>
          <t>Process</t>
        </is>
      </c>
      <c r="E41" s="8" t="inlineStr">
        <is>
          <t>Evaluation Committee Member 1</t>
        </is>
      </c>
      <c r="F41" s="8" t="inlineStr">
        <is>
          <t>evaluator1@demo.lishebora</t>
        </is>
      </c>
      <c r="G41" s="8" t="inlineStr">
        <is>
          <t>Source › My evaluations</t>
        </is>
      </c>
      <c r="H41" s="8" t="inlineStr">
        <is>
          <t>Each evaluator: declare no conflict, score every bid, submit. (Scoring before declaring is refused.)</t>
        </is>
      </c>
      <c r="I41" s="8" t="inlineStr">
        <is>
          <t>Scores submitted by all three.</t>
        </is>
      </c>
      <c r="J41" s="5" t="inlineStr"/>
      <c r="K41" s="5" t="inlineStr"/>
      <c r="L41" s="5" t="inlineStr"/>
      <c r="M41" s="5" t="inlineStr"/>
    </row>
    <row r="42">
      <c r="A42" s="8" t="n">
        <v>41</v>
      </c>
      <c r="B42" s="8" t="inlineStr">
        <is>
          <t>6 Sourcing</t>
        </is>
      </c>
      <c r="C42" s="8" t="inlineStr">
        <is>
          <t>Consolidate</t>
        </is>
      </c>
      <c r="D42" s="8" t="inlineStr">
        <is>
          <t>Process</t>
        </is>
      </c>
      <c r="E42" s="8" t="inlineStr">
        <is>
          <t>County Procurement Officer</t>
        </is>
      </c>
      <c r="F42" s="8" t="inlineStr">
        <is>
          <t>procurement@demo.lishebora</t>
        </is>
      </c>
      <c r="G42" s="8" t="inlineStr">
        <is>
          <t>Source › Sourcing events › (event)</t>
        </is>
      </c>
      <c r="H42" s="8" t="inlineStr">
        <is>
          <t>Consolidate the evaluation.</t>
        </is>
      </c>
      <c r="I42" s="8" t="inlineStr">
        <is>
          <t>Ranking per lot with technical + price scores and a recommended total.</t>
        </is>
      </c>
      <c r="J42" s="5" t="inlineStr"/>
      <c r="K42" s="5" t="inlineStr"/>
      <c r="L42" s="5" t="inlineStr"/>
      <c r="M42" s="5" t="inlineStr"/>
    </row>
    <row r="43">
      <c r="A43" s="8" t="n">
        <v>42</v>
      </c>
      <c r="B43" s="8" t="inlineStr">
        <is>
          <t>6 Sourcing</t>
        </is>
      </c>
      <c r="C43" s="8" t="inlineStr">
        <is>
          <t>Recommend award</t>
        </is>
      </c>
      <c r="D43" s="8" t="inlineStr">
        <is>
          <t>Process</t>
        </is>
      </c>
      <c r="E43" s="8" t="inlineStr">
        <is>
          <t>County Procurement Officer</t>
        </is>
      </c>
      <c r="F43" s="8" t="inlineStr">
        <is>
          <t>procurement@demo.lishebora</t>
        </is>
      </c>
      <c r="G43" s="8" t="inlineStr">
        <is>
          <t>Source › Sourcing events › (event)</t>
        </is>
      </c>
      <c r="H43" s="8" t="inlineStr">
        <is>
          <t>Recommend the award.</t>
        </is>
      </c>
      <c r="I43" s="8" t="inlineStr">
        <is>
          <t>Goes to finance commitment check.</t>
        </is>
      </c>
      <c r="J43" s="5" t="inlineStr"/>
      <c r="K43" s="5" t="inlineStr"/>
      <c r="L43" s="5" t="inlineStr"/>
      <c r="M43" s="5" t="inlineStr"/>
    </row>
    <row r="44">
      <c r="A44" s="8" t="n">
        <v>43</v>
      </c>
      <c r="B44" s="8" t="inlineStr">
        <is>
          <t>6 Sourcing</t>
        </is>
      </c>
      <c r="C44" s="8" t="inlineStr">
        <is>
          <t>Finance commitment check, then award approval</t>
        </is>
      </c>
      <c r="D44" s="8" t="inlineStr">
        <is>
          <t>Process</t>
        </is>
      </c>
      <c r="E44" s="8" t="inlineStr">
        <is>
          <t>County Finance Officer</t>
        </is>
      </c>
      <c r="F44" s="8" t="inlineStr">
        <is>
          <t>finance@demo.lishebora</t>
        </is>
      </c>
      <c r="G44" s="8" t="inlineStr">
        <is>
          <t>Overview › My approvals</t>
        </is>
      </c>
      <c r="H44" s="8" t="inlineStr">
        <is>
          <t>Finance approves; then the approving officer approves. (Approver cannot act before finance.)</t>
        </is>
      </c>
      <c r="I44" s="8" t="inlineStr">
        <is>
          <t>Event ‘awarded’; award notice on the public Opportunities page.</t>
        </is>
      </c>
      <c r="J44" s="5" t="inlineStr"/>
      <c r="K44" s="5" t="inlineStr"/>
      <c r="L44" s="5" t="inlineStr"/>
      <c r="M44" s="5" t="inlineStr"/>
    </row>
    <row r="45">
      <c r="A45" s="6" t="n">
        <v>44</v>
      </c>
      <c r="B45" s="6" t="inlineStr">
        <is>
          <t>7 Contract &amp; order</t>
        </is>
      </c>
      <c r="C45" s="6" t="inlineStr">
        <is>
          <t>Acknowledge the purchase order</t>
        </is>
      </c>
      <c r="D45" s="6" t="inlineStr">
        <is>
          <t>Process</t>
        </is>
      </c>
      <c r="E45" s="6" t="inlineStr">
        <is>
          <t>Supplier – Umoja Farmers Cooperative (demo)</t>
        </is>
      </c>
      <c r="F45" s="6" t="inlineStr">
        <is>
          <t>supplier1@demo.lishebora</t>
        </is>
      </c>
      <c r="G45" s="6" t="inlineStr">
        <is>
          <t>Supplier › My contracts &amp; orders</t>
        </is>
      </c>
      <c r="H45" s="6" t="inlineStr">
        <is>
          <t>Each winning supplier opens the contract and PO and acknowledges it.</t>
        </is>
      </c>
      <c r="I45" s="6" t="inlineStr">
        <is>
          <t>PO status ‘acknowledged’.</t>
        </is>
      </c>
      <c r="J45" s="5" t="inlineStr"/>
      <c r="K45" s="5" t="inlineStr"/>
      <c r="L45" s="5" t="inlineStr"/>
      <c r="M45" s="5" t="inlineStr"/>
    </row>
    <row r="46">
      <c r="A46" s="6" t="n">
        <v>45</v>
      </c>
      <c r="B46" s="6" t="inlineStr">
        <is>
          <t>7 Contract &amp; order</t>
        </is>
      </c>
      <c r="C46" s="6" t="inlineStr">
        <is>
          <t>Unsuccessful bidders informed</t>
        </is>
      </c>
      <c r="D46" s="6" t="inlineStr">
        <is>
          <t>Process</t>
        </is>
      </c>
      <c r="E46" s="6" t="inlineStr">
        <is>
          <t>Supplier – Tumaini Grain Traders (demo)</t>
        </is>
      </c>
      <c r="F46" s="6" t="inlineStr">
        <is>
          <t>supplier2@demo.lishebora</t>
        </is>
      </c>
      <c r="G46" s="6" t="inlineStr">
        <is>
          <t>Account › Notifications</t>
        </is>
      </c>
      <c r="H46" s="6" t="inlineStr">
        <is>
          <t>Check notifications.</t>
        </is>
      </c>
      <c r="I46" s="6" t="inlineStr">
        <is>
          <t>Outcome message received.</t>
        </is>
      </c>
      <c r="J46" s="5" t="inlineStr"/>
      <c r="K46" s="5" t="inlineStr"/>
      <c r="L46" s="5" t="inlineStr"/>
      <c r="M46" s="5" t="inlineStr"/>
    </row>
    <row r="47">
      <c r="A47" s="8" t="n">
        <v>46</v>
      </c>
      <c r="B47" s="8" t="inlineStr">
        <is>
          <t>8 Aggregation &amp; quality</t>
        </is>
      </c>
      <c r="C47" s="8" t="inlineStr">
        <is>
          <t>Record farmer intake</t>
        </is>
      </c>
      <c r="D47" s="8" t="inlineStr">
        <is>
          <t>Process</t>
        </is>
      </c>
      <c r="E47" s="8" t="inlineStr">
        <is>
          <t>Aggregator – Umoja hub</t>
        </is>
      </c>
      <c r="F47" s="8" t="inlineStr">
        <is>
          <t>aggregator@demo.lishebora</t>
        </is>
      </c>
      <c r="G47" s="8" t="inlineStr">
        <is>
          <t>Fulfil › Aggregation &amp; intake</t>
        </is>
      </c>
      <c r="H47" s="8" t="inlineStr">
        <is>
          <t>Record produce received from 2 farmers (name, gender, youth, food, quantity) at the Umoja hub for the PO items.</t>
        </is>
      </c>
      <c r="I47" s="8" t="inlineStr">
        <is>
          <t>A batch is created with the total quantity and producers.</t>
        </is>
      </c>
      <c r="J47" s="5" t="inlineStr"/>
      <c r="K47" s="5" t="inlineStr"/>
      <c r="L47" s="5" t="inlineStr"/>
      <c r="M47" s="5" t="inlineStr"/>
    </row>
    <row r="48">
      <c r="A48" s="8" t="n">
        <v>47</v>
      </c>
      <c r="B48" s="8" t="inlineStr">
        <is>
          <t>8 Aggregation &amp; quality</t>
        </is>
      </c>
      <c r="C48" s="8" t="inlineStr">
        <is>
          <t>Request inspection</t>
        </is>
      </c>
      <c r="D48" s="8" t="inlineStr">
        <is>
          <t>Process</t>
        </is>
      </c>
      <c r="E48" s="8" t="inlineStr">
        <is>
          <t>Aggregator – Umoja hub</t>
        </is>
      </c>
      <c r="F48" s="8" t="inlineStr">
        <is>
          <t>aggregator@demo.lishebora</t>
        </is>
      </c>
      <c r="G48" s="8" t="inlineStr">
        <is>
          <t>Fulfil › Aggregation &amp; intake</t>
        </is>
      </c>
      <c r="H48" s="8" t="inlineStr">
        <is>
          <t>Request inspection for the batch.</t>
        </is>
      </c>
      <c r="I48" s="8" t="inlineStr">
        <is>
          <t>Batch ‘awaiting inspection’.</t>
        </is>
      </c>
      <c r="J48" s="5" t="inlineStr"/>
      <c r="K48" s="5" t="inlineStr"/>
      <c r="L48" s="5" t="inlineStr"/>
      <c r="M48" s="5" t="inlineStr"/>
    </row>
    <row r="49">
      <c r="A49" s="8" t="n">
        <v>48</v>
      </c>
      <c r="B49" s="8" t="inlineStr">
        <is>
          <t>8 Aggregation &amp; quality</t>
        </is>
      </c>
      <c r="C49" s="8" t="inlineStr">
        <is>
          <t>Inspect and clear</t>
        </is>
      </c>
      <c r="D49" s="8" t="inlineStr">
        <is>
          <t>Process</t>
        </is>
      </c>
      <c r="E49" s="8" t="inlineStr">
        <is>
          <t>Quality Inspector</t>
        </is>
      </c>
      <c r="F49" s="8" t="inlineStr">
        <is>
          <t>inspector@demo.lishebora</t>
        </is>
      </c>
      <c r="G49" s="8" t="inlineStr">
        <is>
          <t>Fulfil › Quality inspection</t>
        </is>
      </c>
      <c r="H49" s="8" t="inlineStr">
        <is>
          <t>Enter moisture (e.g. 12.4 %), visual checks, grade, accepted quantity.</t>
        </is>
      </c>
      <c r="I49" s="8" t="inlineStr">
        <is>
          <t>Batch ‘cleared’; supplier notified.</t>
        </is>
      </c>
      <c r="J49" s="5" t="inlineStr"/>
      <c r="K49" s="5" t="inlineStr"/>
      <c r="L49" s="5" t="inlineStr"/>
      <c r="M49" s="5" t="inlineStr"/>
    </row>
    <row r="50">
      <c r="A50" s="8" t="n">
        <v>49</v>
      </c>
      <c r="B50" s="8" t="inlineStr">
        <is>
          <t>8 Aggregation &amp; quality</t>
        </is>
      </c>
      <c r="C50" s="8" t="inlineStr">
        <is>
          <t>Failed moisture cannot be accepted</t>
        </is>
      </c>
      <c r="D50" s="9" t="inlineStr">
        <is>
          <t>Control</t>
        </is>
      </c>
      <c r="E50" s="8" t="inlineStr">
        <is>
          <t>Quality Inspector</t>
        </is>
      </c>
      <c r="F50" s="8" t="inlineStr">
        <is>
          <t>inspector@demo.lishebora</t>
        </is>
      </c>
      <c r="G50" s="8" t="inlineStr">
        <is>
          <t>Fulfil › Quality inspection</t>
        </is>
      </c>
      <c r="H50" s="8" t="inlineStr">
        <is>
          <t>For another batch of maize enter moisture 15.5 % and ‘accepted’.</t>
        </is>
      </c>
      <c r="I50" s="8" t="inlineStr">
        <is>
          <t>Refused; record as rejected with a reason → exception case raised.</t>
        </is>
      </c>
      <c r="J50" s="5" t="inlineStr"/>
      <c r="K50" s="5" t="inlineStr"/>
      <c r="L50" s="5" t="inlineStr"/>
      <c r="M50" s="5" t="inlineStr"/>
    </row>
    <row r="51">
      <c r="A51" s="8" t="n">
        <v>50</v>
      </c>
      <c r="B51" s="8" t="inlineStr">
        <is>
          <t>8 Aggregation &amp; quality</t>
        </is>
      </c>
      <c r="C51" s="8" t="inlineStr">
        <is>
          <t>Inspector cannot inspect own intake</t>
        </is>
      </c>
      <c r="D51" s="9" t="inlineStr">
        <is>
          <t>Control</t>
        </is>
      </c>
      <c r="E51" s="8" t="inlineStr">
        <is>
          <t>Quality Inspector</t>
        </is>
      </c>
      <c r="F51" s="8" t="inlineStr">
        <is>
          <t>inspector@demo.lishebora</t>
        </is>
      </c>
      <c r="G51" s="8" t="inlineStr">
        <is>
          <t>Fulfil › Aggregation &amp; intake</t>
        </is>
      </c>
      <c r="H51" s="8" t="inlineStr">
        <is>
          <t>Record an intake yourself and try to inspect it.</t>
        </is>
      </c>
      <c r="I51" s="8" t="inlineStr">
        <is>
          <t>Refused (segregation of duties).</t>
        </is>
      </c>
      <c r="J51" s="5" t="inlineStr"/>
      <c r="K51" s="5" t="inlineStr"/>
      <c r="L51" s="5" t="inlineStr"/>
      <c r="M51" s="5" t="inlineStr"/>
    </row>
    <row r="52">
      <c r="A52" s="8" t="n">
        <v>51</v>
      </c>
      <c r="B52" s="8" t="inlineStr">
        <is>
          <t>8 Aggregation &amp; quality</t>
        </is>
      </c>
      <c r="C52" s="8" t="inlineStr">
        <is>
          <t>Print the QR label</t>
        </is>
      </c>
      <c r="D52" s="8" t="inlineStr">
        <is>
          <t>Process</t>
        </is>
      </c>
      <c r="E52" s="8" t="inlineStr">
        <is>
          <t>Aggregator – Umoja hub</t>
        </is>
      </c>
      <c r="F52" s="8" t="inlineStr">
        <is>
          <t>aggregator@demo.lishebora</t>
        </is>
      </c>
      <c r="G52" s="8" t="inlineStr">
        <is>
          <t>Fulfil › Aggregation &amp; intake › (batch)</t>
        </is>
      </c>
      <c r="H52" s="8" t="inlineStr">
        <is>
          <t>Open the QR label.</t>
        </is>
      </c>
      <c r="I52" s="8" t="inlineStr">
        <is>
          <t>QR label for the batch; scanning shows the public trace page.</t>
        </is>
      </c>
      <c r="J52" s="5" t="inlineStr"/>
      <c r="K52" s="5" t="inlineStr"/>
      <c r="L52" s="5" t="inlineStr"/>
      <c r="M52" s="5" t="inlineStr"/>
    </row>
    <row r="53">
      <c r="A53" s="6" t="n">
        <v>52</v>
      </c>
      <c r="B53" s="6" t="inlineStr">
        <is>
          <t>9 Warehouse</t>
        </is>
      </c>
      <c r="C53" s="6" t="inlineStr">
        <is>
          <t>Transfer stock to the county store</t>
        </is>
      </c>
      <c r="D53" s="6" t="inlineStr">
        <is>
          <t>Process</t>
        </is>
      </c>
      <c r="E53" s="6" t="inlineStr">
        <is>
          <t>Aggregator – Umoja hub</t>
        </is>
      </c>
      <c r="F53" s="6" t="inlineStr">
        <is>
          <t>aggregator@demo.lishebora</t>
        </is>
      </c>
      <c r="G53" s="6" t="inlineStr">
        <is>
          <t>Fulfil › Inventory</t>
        </is>
      </c>
      <c r="H53" s="6" t="inlineStr">
        <is>
          <t>Transfer a small quantity from the hub to the county food store.</t>
        </is>
      </c>
      <c r="I53" s="6" t="inlineStr">
        <is>
          <t>Stock appears at the county store.</t>
        </is>
      </c>
      <c r="J53" s="5" t="inlineStr"/>
      <c r="K53" s="5" t="inlineStr"/>
      <c r="L53" s="5" t="inlineStr"/>
      <c r="M53" s="5" t="inlineStr"/>
    </row>
    <row r="54">
      <c r="A54" s="6" t="n">
        <v>53</v>
      </c>
      <c r="B54" s="6" t="inlineStr">
        <is>
          <t>9 Warehouse</t>
        </is>
      </c>
      <c r="C54" s="6" t="inlineStr">
        <is>
          <t>Write-off needs verification</t>
        </is>
      </c>
      <c r="D54" s="6" t="inlineStr">
        <is>
          <t>Process</t>
        </is>
      </c>
      <c r="E54" s="6" t="inlineStr">
        <is>
          <t>Aggregator – Umoja hub</t>
        </is>
      </c>
      <c r="F54" s="6" t="inlineStr">
        <is>
          <t>aggregator@demo.lishebora</t>
        </is>
      </c>
      <c r="G54" s="6" t="inlineStr">
        <is>
          <t>Fulfil › Inventory</t>
        </is>
      </c>
      <c r="H54" s="6" t="inlineStr">
        <is>
          <t>Record a 1 kg write-off (torn sack) and try to approve it yourself; then the warehouse supervisor approves.</t>
        </is>
      </c>
      <c r="I54" s="6" t="inlineStr">
        <is>
          <t>Posted only after the supervisor verifies it.</t>
        </is>
      </c>
      <c r="J54" s="5" t="inlineStr"/>
      <c r="K54" s="5" t="inlineStr"/>
      <c r="L54" s="5" t="inlineStr"/>
      <c r="M54" s="5" t="inlineStr"/>
    </row>
    <row r="55">
      <c r="A55" s="6" t="n">
        <v>54</v>
      </c>
      <c r="B55" s="6" t="inlineStr">
        <is>
          <t>9 Warehouse</t>
        </is>
      </c>
      <c r="C55" s="6" t="inlineStr">
        <is>
          <t>Stock count</t>
        </is>
      </c>
      <c r="D55" s="6" t="inlineStr">
        <is>
          <t>Process</t>
        </is>
      </c>
      <c r="E55" s="6" t="inlineStr">
        <is>
          <t>Warehouse Officer</t>
        </is>
      </c>
      <c r="F55" s="6" t="inlineStr">
        <is>
          <t>warehouse@demo.lishebora</t>
        </is>
      </c>
      <c r="G55" s="6" t="inlineStr">
        <is>
          <t>Fulfil › Inventory</t>
        </is>
      </c>
      <c r="H55" s="6" t="inlineStr">
        <is>
          <t>Count the county store; enter a quantity 1 kg lower than the system.</t>
        </is>
      </c>
      <c r="I55" s="6" t="inlineStr">
        <is>
          <t>Variance shown; posted after the supervisor verifies.</t>
        </is>
      </c>
      <c r="J55" s="5" t="inlineStr"/>
      <c r="K55" s="5" t="inlineStr"/>
      <c r="L55" s="5" t="inlineStr"/>
      <c r="M55" s="5" t="inlineStr"/>
    </row>
    <row r="56">
      <c r="A56" s="8" t="n">
        <v>55</v>
      </c>
      <c r="B56" s="8" t="inlineStr">
        <is>
          <t>10 Dispatch &amp; delivery</t>
        </is>
      </c>
      <c r="C56" s="8" t="inlineStr">
        <is>
          <t>Plan the delivery trip</t>
        </is>
      </c>
      <c r="D56" s="8" t="inlineStr">
        <is>
          <t>Process</t>
        </is>
      </c>
      <c r="E56" s="8" t="inlineStr">
        <is>
          <t>Logistics Officer</t>
        </is>
      </c>
      <c r="F56" s="8" t="inlineStr">
        <is>
          <t>logistics@demo.lishebora</t>
        </is>
      </c>
      <c r="G56" s="8" t="inlineStr">
        <is>
          <t>Fulfil › Dispatch</t>
        </is>
      </c>
      <c r="H56" s="8" t="inlineStr">
        <is>
          <t>New trip from the hub to Kalulini with the cleared batches, vehicle, driver and date. Try sending more than ordered.</t>
        </is>
      </c>
      <c r="I56" s="8" t="inlineStr">
        <is>
          <t>Over-sending refused; trip created.</t>
        </is>
      </c>
      <c r="J56" s="5" t="inlineStr"/>
      <c r="K56" s="5" t="inlineStr"/>
      <c r="L56" s="5" t="inlineStr"/>
      <c r="M56" s="5" t="inlineStr"/>
    </row>
    <row r="57">
      <c r="A57" s="8" t="n">
        <v>56</v>
      </c>
      <c r="B57" s="8" t="inlineStr">
        <is>
          <t>10 Dispatch &amp; delivery</t>
        </is>
      </c>
      <c r="C57" s="8" t="inlineStr">
        <is>
          <t>Route suggestion</t>
        </is>
      </c>
      <c r="D57" s="8" t="inlineStr">
        <is>
          <t>Process</t>
        </is>
      </c>
      <c r="E57" s="8" t="inlineStr">
        <is>
          <t>Logistics Officer</t>
        </is>
      </c>
      <c r="F57" s="8" t="inlineStr">
        <is>
          <t>logistics@demo.lishebora</t>
        </is>
      </c>
      <c r="G57" s="8" t="inlineStr">
        <is>
          <t>Fulfil › Dispatch › (trip)</t>
        </is>
      </c>
      <c r="H57" s="8" t="inlineStr">
        <is>
          <t>Open the suggested route.</t>
        </is>
      </c>
      <c r="I57" s="8" t="inlineStr">
        <is>
          <t>Route with distance (uses the school GPS).</t>
        </is>
      </c>
      <c r="J57" s="5" t="inlineStr"/>
      <c r="K57" s="5" t="inlineStr"/>
      <c r="L57" s="5" t="inlineStr"/>
      <c r="M57" s="5" t="inlineStr"/>
    </row>
    <row r="58">
      <c r="A58" s="8" t="n">
        <v>57</v>
      </c>
      <c r="B58" s="8" t="inlineStr">
        <is>
          <t>10 Dispatch &amp; delivery</t>
        </is>
      </c>
      <c r="C58" s="8" t="inlineStr">
        <is>
          <t>Dispatch the trip</t>
        </is>
      </c>
      <c r="D58" s="8" t="inlineStr">
        <is>
          <t>Process</t>
        </is>
      </c>
      <c r="E58" s="8" t="inlineStr">
        <is>
          <t>Logistics Officer</t>
        </is>
      </c>
      <c r="F58" s="8" t="inlineStr">
        <is>
          <t>logistics@demo.lishebora</t>
        </is>
      </c>
      <c r="G58" s="8" t="inlineStr">
        <is>
          <t>Fulfil › Dispatch</t>
        </is>
      </c>
      <c r="H58" s="8" t="inlineStr">
        <is>
          <t>Dispatch.</t>
        </is>
      </c>
      <c r="I58" s="8" t="inlineStr">
        <is>
          <t>Status ‘dispatched’; school and driver notified.</t>
        </is>
      </c>
      <c r="J58" s="5" t="inlineStr"/>
      <c r="K58" s="5" t="inlineStr"/>
      <c r="L58" s="5" t="inlineStr"/>
      <c r="M58" s="5" t="inlineStr"/>
    </row>
    <row r="59">
      <c r="A59" s="8" t="n">
        <v>58</v>
      </c>
      <c r="B59" s="8" t="inlineStr">
        <is>
          <t>10 Dispatch &amp; delivery</t>
        </is>
      </c>
      <c r="C59" s="8" t="inlineStr">
        <is>
          <t>Driver updates progress</t>
        </is>
      </c>
      <c r="D59" s="8" t="inlineStr">
        <is>
          <t>Process</t>
        </is>
      </c>
      <c r="E59" s="8" t="inlineStr">
        <is>
          <t>Driver</t>
        </is>
      </c>
      <c r="F59" s="8" t="inlineStr">
        <is>
          <t>driver@demo.lishebora</t>
        </is>
      </c>
      <c r="G59" s="8" t="inlineStr">
        <is>
          <t>Fulfil › Deliveries</t>
        </is>
      </c>
      <c r="H59" s="8" t="inlineStr">
        <is>
          <t>Mark ‘in transit’ (allow location on the phone).</t>
        </is>
      </c>
      <c r="I59" s="8" t="inlineStr">
        <is>
          <t>Status ‘in transit’ with last position on the map.</t>
        </is>
      </c>
      <c r="J59" s="5" t="inlineStr"/>
      <c r="K59" s="5" t="inlineStr"/>
      <c r="L59" s="5" t="inlineStr"/>
      <c r="M59" s="5" t="inlineStr"/>
    </row>
    <row r="60">
      <c r="A60" s="8" t="n">
        <v>59</v>
      </c>
      <c r="B60" s="8" t="inlineStr">
        <is>
          <t>10 Dispatch &amp; delivery</t>
        </is>
      </c>
      <c r="C60" s="8" t="inlineStr">
        <is>
          <t>Confirm delivery at school (e-POD)</t>
        </is>
      </c>
      <c r="D60" s="8" t="inlineStr">
        <is>
          <t>Process</t>
        </is>
      </c>
      <c r="E60" s="8" t="inlineStr">
        <is>
          <t>School Administrator</t>
        </is>
      </c>
      <c r="F60" s="8" t="inlineStr">
        <is>
          <t>school.admin@demo.lishebora</t>
        </is>
      </c>
      <c r="G60" s="8" t="inlineStr">
        <is>
          <t>Fulfil › Deliveries</t>
        </is>
      </c>
      <c r="H60" s="8" t="inlineStr">
        <is>
          <t>Confirm what was received; reject 10 kg as damaged with a reason; sign on screen.</t>
        </is>
      </c>
      <c r="I60" s="8" t="inlineStr">
        <is>
          <t>Delivery ‘partially accepted’; exception raised for the rejected goods.</t>
        </is>
      </c>
      <c r="J60" s="5" t="inlineStr"/>
      <c r="K60" s="5" t="inlineStr"/>
      <c r="L60" s="5" t="inlineStr"/>
      <c r="M60" s="5" t="inlineStr"/>
    </row>
    <row r="61">
      <c r="A61" s="8" t="n">
        <v>60</v>
      </c>
      <c r="B61" s="8" t="inlineStr">
        <is>
          <t>10 Dispatch &amp; delivery</t>
        </is>
      </c>
      <c r="C61" s="8" t="inlineStr">
        <is>
          <t>Other school cannot confirm</t>
        </is>
      </c>
      <c r="D61" s="9" t="inlineStr">
        <is>
          <t>Control</t>
        </is>
      </c>
      <c r="E61" s="8" t="inlineStr">
        <is>
          <t>School Administrator (Muatini)</t>
        </is>
      </c>
      <c r="F61" s="8" t="inlineStr">
        <is>
          <t>school2.admin@demo.lishebora</t>
        </is>
      </c>
      <c r="G61" s="8" t="inlineStr">
        <is>
          <t>Fulfil › Deliveries</t>
        </is>
      </c>
      <c r="H61" s="8" t="inlineStr">
        <is>
          <t>Muatini’s administrator looks for Kalulini’s delivery.</t>
        </is>
      </c>
      <c r="I61" s="8" t="inlineStr">
        <is>
          <t>Not visible / refused.</t>
        </is>
      </c>
      <c r="J61" s="5" t="inlineStr"/>
      <c r="K61" s="5" t="inlineStr"/>
      <c r="L61" s="5" t="inlineStr"/>
      <c r="M61" s="5" t="inlineStr"/>
    </row>
    <row r="62">
      <c r="A62" s="8" t="n">
        <v>61</v>
      </c>
      <c r="B62" s="8" t="inlineStr">
        <is>
          <t>10 Dispatch &amp; delivery</t>
        </is>
      </c>
      <c r="C62" s="8" t="inlineStr">
        <is>
          <t>Resolve the delivery exception</t>
        </is>
      </c>
      <c r="D62" s="8" t="inlineStr">
        <is>
          <t>Process</t>
        </is>
      </c>
      <c r="E62" s="8" t="inlineStr">
        <is>
          <t>County Administrator</t>
        </is>
      </c>
      <c r="F62" s="8" t="inlineStr">
        <is>
          <t>county.admin@demo.lishebora</t>
        </is>
      </c>
      <c r="G62" s="8" t="inlineStr">
        <is>
          <t>Oversight › Exceptions</t>
        </is>
      </c>
      <c r="H62" s="8" t="inlineStr">
        <is>
          <t>Procurement adds a progress note; the county administrator resolves.</t>
        </is>
      </c>
      <c r="I62" s="8" t="inlineStr">
        <is>
          <t>Case ‘resolved’.</t>
        </is>
      </c>
      <c r="J62" s="5" t="inlineStr"/>
      <c r="K62" s="5" t="inlineStr"/>
      <c r="L62" s="5" t="inlineStr"/>
      <c r="M62" s="5" t="inlineStr"/>
    </row>
    <row r="63">
      <c r="A63" s="6" t="n">
        <v>62</v>
      </c>
      <c r="B63" s="6" t="inlineStr">
        <is>
          <t>11 School stock</t>
        </is>
      </c>
      <c r="C63" s="6" t="inlineStr">
        <is>
          <t>Record daily food use</t>
        </is>
      </c>
      <c r="D63" s="6" t="inlineStr">
        <is>
          <t>Process</t>
        </is>
      </c>
      <c r="E63" s="6" t="inlineStr">
        <is>
          <t>School Meals Officer</t>
        </is>
      </c>
      <c r="F63" s="6" t="inlineStr">
        <is>
          <t>meals.officer@demo.lishebora</t>
        </is>
      </c>
      <c r="G63" s="6" t="inlineStr">
        <is>
          <t>Fulfil › Inventory</t>
        </is>
      </c>
      <c r="H63" s="6" t="inlineStr">
        <is>
          <t>Record food used today and meals served.</t>
        </is>
      </c>
      <c r="I63" s="6" t="inlineStr">
        <is>
          <t>School stock goes down.</t>
        </is>
      </c>
      <c r="J63" s="5" t="inlineStr"/>
      <c r="K63" s="5" t="inlineStr"/>
      <c r="L63" s="5" t="inlineStr"/>
      <c r="M63" s="5" t="inlineStr"/>
    </row>
    <row r="64">
      <c r="A64" s="6" t="n">
        <v>63</v>
      </c>
      <c r="B64" s="6" t="inlineStr">
        <is>
          <t>11 School stock</t>
        </is>
      </c>
      <c r="C64" s="6" t="inlineStr">
        <is>
          <t>Stock outlook</t>
        </is>
      </c>
      <c r="D64" s="6" t="inlineStr">
        <is>
          <t>Process</t>
        </is>
      </c>
      <c r="E64" s="6" t="inlineStr">
        <is>
          <t>School Meals Officer</t>
        </is>
      </c>
      <c r="F64" s="6" t="inlineStr">
        <is>
          <t>meals.officer@demo.lishebora</t>
        </is>
      </c>
      <c r="G64" s="6" t="inlineStr">
        <is>
          <t>Performance &amp; finance › Forecasts &amp; prices</t>
        </is>
      </c>
      <c r="H64" s="6" t="inlineStr">
        <is>
          <t>Open the stock outlook.</t>
        </is>
      </c>
      <c r="I64" s="6" t="inlineStr">
        <is>
          <t>Days of food left per item.</t>
        </is>
      </c>
      <c r="J64" s="5" t="inlineStr"/>
      <c r="K64" s="5" t="inlineStr"/>
      <c r="L64" s="5" t="inlineStr"/>
      <c r="M64" s="5" t="inlineStr"/>
    </row>
    <row r="65">
      <c r="A65" s="6" t="n">
        <v>64</v>
      </c>
      <c r="B65" s="6" t="inlineStr">
        <is>
          <t>11 School stock</t>
        </is>
      </c>
      <c r="C65" s="6" t="inlineStr">
        <is>
          <t>Trace a batch</t>
        </is>
      </c>
      <c r="D65" s="6" t="inlineStr">
        <is>
          <t>Process</t>
        </is>
      </c>
      <c r="E65" s="6" t="inlineStr">
        <is>
          <t>County Procurement Officer</t>
        </is>
      </c>
      <c r="F65" s="6" t="inlineStr">
        <is>
          <t>procurement@demo.lishebora</t>
        </is>
      </c>
      <c r="G65" s="6" t="inlineStr">
        <is>
          <t>Fulfil › Traceability</t>
        </is>
      </c>
      <c r="H65" s="6" t="inlineStr">
        <is>
          <t>Search the batch code (or scan the QR).</t>
        </is>
      </c>
      <c r="I65" s="6" t="inlineStr">
        <is>
          <t>Farmers → hub → inspection → school; the public page hides farmer names.</t>
        </is>
      </c>
      <c r="J65" s="5" t="inlineStr"/>
      <c r="K65" s="5" t="inlineStr"/>
      <c r="L65" s="5" t="inlineStr"/>
      <c r="M65" s="5" t="inlineStr"/>
    </row>
    <row r="66">
      <c r="A66" s="8" t="n">
        <v>65</v>
      </c>
      <c r="B66" s="8" t="inlineStr">
        <is>
          <t>12 Invoice &amp; payment</t>
        </is>
      </c>
      <c r="C66" s="8" t="inlineStr">
        <is>
          <t>Submit the invoice</t>
        </is>
      </c>
      <c r="D66" s="8" t="inlineStr">
        <is>
          <t>Process</t>
        </is>
      </c>
      <c r="E66" s="8" t="inlineStr">
        <is>
          <t>Aggregator – Umoja hub</t>
        </is>
      </c>
      <c r="F66" s="8" t="inlineStr">
        <is>
          <t>aggregator@demo.lishebora</t>
        </is>
      </c>
      <c r="G66" s="8" t="inlineStr">
        <is>
          <t>Performance &amp; finance › Invoices &amp; payments</t>
        </is>
      </c>
      <c r="H66" s="8" t="inlineStr">
        <is>
          <t>New invoice for the PO; try billing more than was accepted, then bill the accepted quantities.</t>
        </is>
      </c>
      <c r="I66" s="8" t="inlineStr">
        <is>
          <t>Over-billing refused; invoice ‘matched’ (PO + delivery + invoice).</t>
        </is>
      </c>
      <c r="J66" s="5" t="inlineStr"/>
      <c r="K66" s="5" t="inlineStr"/>
      <c r="L66" s="5" t="inlineStr"/>
      <c r="M66" s="5" t="inlineStr"/>
    </row>
    <row r="67">
      <c r="A67" s="8" t="n">
        <v>66</v>
      </c>
      <c r="B67" s="8" t="inlineStr">
        <is>
          <t>12 Invoice &amp; payment</t>
        </is>
      </c>
      <c r="C67" s="8" t="inlineStr">
        <is>
          <t>Duplicate invoice number refused</t>
        </is>
      </c>
      <c r="D67" s="9" t="inlineStr">
        <is>
          <t>Control</t>
        </is>
      </c>
      <c r="E67" s="8" t="inlineStr">
        <is>
          <t>Aggregator – Umoja hub</t>
        </is>
      </c>
      <c r="F67" s="8" t="inlineStr">
        <is>
          <t>aggregator@demo.lishebora</t>
        </is>
      </c>
      <c r="G67" s="8" t="inlineStr">
        <is>
          <t>Performance &amp; finance › Invoices &amp; payments</t>
        </is>
      </c>
      <c r="H67" s="8" t="inlineStr">
        <is>
          <t>Submit another invoice with the same supplier invoice number.</t>
        </is>
      </c>
      <c r="I67" s="8" t="inlineStr">
        <is>
          <t>Refused.</t>
        </is>
      </c>
      <c r="J67" s="5" t="inlineStr"/>
      <c r="K67" s="5" t="inlineStr"/>
      <c r="L67" s="5" t="inlineStr"/>
      <c r="M67" s="5" t="inlineStr"/>
    </row>
    <row r="68">
      <c r="A68" s="8" t="n">
        <v>67</v>
      </c>
      <c r="B68" s="8" t="inlineStr">
        <is>
          <t>12 Invoice &amp; payment</t>
        </is>
      </c>
      <c r="C68" s="8" t="inlineStr">
        <is>
          <t>Verify the invoice</t>
        </is>
      </c>
      <c r="D68" s="8" t="inlineStr">
        <is>
          <t>Process</t>
        </is>
      </c>
      <c r="E68" s="8" t="inlineStr">
        <is>
          <t>Finance Officer – verifier</t>
        </is>
      </c>
      <c r="F68" s="8" t="inlineStr">
        <is>
          <t>accounts@demo.lishebora</t>
        </is>
      </c>
      <c r="G68" s="8" t="inlineStr">
        <is>
          <t>Overview › My approvals</t>
        </is>
      </c>
      <c r="H68" s="8" t="inlineStr">
        <is>
          <t>Verify (three-way match).</t>
        </is>
      </c>
      <c r="I68" s="8" t="inlineStr">
        <is>
          <t>Status ‘verified’; the same person cannot also approve.</t>
        </is>
      </c>
      <c r="J68" s="5" t="inlineStr"/>
      <c r="K68" s="5" t="inlineStr"/>
      <c r="L68" s="5" t="inlineStr"/>
      <c r="M68" s="5" t="inlineStr"/>
    </row>
    <row r="69">
      <c r="A69" s="8" t="n">
        <v>68</v>
      </c>
      <c r="B69" s="8" t="inlineStr">
        <is>
          <t>12 Invoice &amp; payment</t>
        </is>
      </c>
      <c r="C69" s="8" t="inlineStr">
        <is>
          <t>Approve the invoice</t>
        </is>
      </c>
      <c r="D69" s="8" t="inlineStr">
        <is>
          <t>Process</t>
        </is>
      </c>
      <c r="E69" s="8" t="inlineStr">
        <is>
          <t>County Finance Officer</t>
        </is>
      </c>
      <c r="F69" s="8" t="inlineStr">
        <is>
          <t>finance@demo.lishebora</t>
        </is>
      </c>
      <c r="G69" s="8" t="inlineStr">
        <is>
          <t>Overview › My approvals</t>
        </is>
      </c>
      <c r="H69" s="8" t="inlineStr">
        <is>
          <t>Approve for payment.</t>
        </is>
      </c>
      <c r="I69" s="8" t="inlineStr">
        <is>
          <t>Status ‘approved’; supplier notified.</t>
        </is>
      </c>
      <c r="J69" s="5" t="inlineStr"/>
      <c r="K69" s="5" t="inlineStr"/>
      <c r="L69" s="5" t="inlineStr"/>
      <c r="M69" s="5" t="inlineStr"/>
    </row>
    <row r="70">
      <c r="A70" s="8" t="n">
        <v>69</v>
      </c>
      <c r="B70" s="8" t="inlineStr">
        <is>
          <t>12 Invoice &amp; payment</t>
        </is>
      </c>
      <c r="C70" s="8" t="inlineStr">
        <is>
          <t>Verify payment details</t>
        </is>
      </c>
      <c r="D70" s="8" t="inlineStr">
        <is>
          <t>Process</t>
        </is>
      </c>
      <c r="E70" s="8" t="inlineStr">
        <is>
          <t>Finance Officer – verifier</t>
        </is>
      </c>
      <c r="F70" s="8" t="inlineStr">
        <is>
          <t>accounts@demo.lishebora</t>
        </is>
      </c>
      <c r="G70" s="8" t="inlineStr">
        <is>
          <t>Performance &amp; finance › Payment integrations</t>
        </is>
      </c>
      <c r="H70" s="8" t="inlineStr">
        <is>
          <t>The supplier updates its M-Pesa details; finance verifies them.</t>
        </is>
      </c>
      <c r="I70" s="8" t="inlineStr">
        <is>
          <t>Details verified.</t>
        </is>
      </c>
      <c r="J70" s="5" t="inlineStr"/>
      <c r="K70" s="5" t="inlineStr"/>
      <c r="L70" s="5" t="inlineStr"/>
      <c r="M70" s="5" t="inlineStr"/>
    </row>
    <row r="71">
      <c r="A71" s="8" t="n">
        <v>70</v>
      </c>
      <c r="B71" s="8" t="inlineStr">
        <is>
          <t>12 Invoice &amp; payment</t>
        </is>
      </c>
      <c r="C71" s="8" t="inlineStr">
        <is>
          <t>Record payment</t>
        </is>
      </c>
      <c r="D71" s="8" t="inlineStr">
        <is>
          <t>Process</t>
        </is>
      </c>
      <c r="E71" s="8" t="inlineStr">
        <is>
          <t>Finance Officer – payer</t>
        </is>
      </c>
      <c r="F71" s="8" t="inlineStr">
        <is>
          <t>payments@demo.lishebora</t>
        </is>
      </c>
      <c r="G71" s="8" t="inlineStr">
        <is>
          <t>Performance &amp; finance › Invoices &amp; payments</t>
        </is>
      </c>
      <c r="H71" s="8" t="inlineStr">
        <is>
          <t>Record payment (e.g. two instalments with M-Pesa references). The verifier cannot pay.</t>
        </is>
      </c>
      <c r="I71" s="8" t="inlineStr">
        <is>
          <t>Status ‘paid’; supplier notified; budget line shows paid.</t>
        </is>
      </c>
      <c r="J71" s="5" t="inlineStr"/>
      <c r="K71" s="5" t="inlineStr"/>
      <c r="L71" s="5" t="inlineStr"/>
      <c r="M71" s="5" t="inlineStr"/>
    </row>
    <row r="72">
      <c r="A72" s="8" t="n">
        <v>71</v>
      </c>
      <c r="B72" s="8" t="inlineStr">
        <is>
          <t>12 Invoice &amp; payment</t>
        </is>
      </c>
      <c r="C72" s="8" t="inlineStr">
        <is>
          <t>IFMIS export</t>
        </is>
      </c>
      <c r="D72" s="8" t="inlineStr">
        <is>
          <t>Process</t>
        </is>
      </c>
      <c r="E72" s="8" t="inlineStr">
        <is>
          <t>Finance Officer – payer</t>
        </is>
      </c>
      <c r="F72" s="8" t="inlineStr">
        <is>
          <t>payments@demo.lishebora</t>
        </is>
      </c>
      <c r="G72" s="8" t="inlineStr">
        <is>
          <t>Performance &amp; finance › Payment integrations</t>
        </is>
      </c>
      <c r="H72" s="8" t="inlineStr">
        <is>
          <t>Download the IFMIS export.</t>
        </is>
      </c>
      <c r="I72" s="8" t="inlineStr">
        <is>
          <t>CSV includes the invoice.</t>
        </is>
      </c>
      <c r="J72" s="5" t="inlineStr"/>
      <c r="K72" s="5" t="inlineStr"/>
      <c r="L72" s="5" t="inlineStr"/>
      <c r="M72" s="5" t="inlineStr"/>
    </row>
    <row r="73">
      <c r="A73" s="6" t="n">
        <v>72</v>
      </c>
      <c r="B73" s="6" t="inlineStr">
        <is>
          <t>13 Complaints &amp; recall</t>
        </is>
      </c>
      <c r="C73" s="6" t="inlineStr">
        <is>
          <t>Raise and close a complaint</t>
        </is>
      </c>
      <c r="D73" s="6" t="inlineStr">
        <is>
          <t>Process</t>
        </is>
      </c>
      <c r="E73" s="6" t="inlineStr">
        <is>
          <t>School Administrator</t>
        </is>
      </c>
      <c r="F73" s="6" t="inlineStr">
        <is>
          <t>school.admin@demo.lishebora</t>
        </is>
      </c>
      <c r="G73" s="6" t="inlineStr">
        <is>
          <t>Performance &amp; finance › Complaints</t>
        </is>
      </c>
      <c r="H73" s="6" t="inlineStr">
        <is>
          <t>Raise a food-quality complaint about the supplier. Procurement investigates, supplier responds, county admin resolves, school confirms with a rating.</t>
        </is>
      </c>
      <c r="I73" s="6" t="inlineStr">
        <is>
          <t>Complaint ‘closed’ with full history.</t>
        </is>
      </c>
      <c r="J73" s="5" t="inlineStr"/>
      <c r="K73" s="5" t="inlineStr"/>
      <c r="L73" s="5" t="inlineStr"/>
      <c r="M73" s="5" t="inlineStr"/>
    </row>
    <row r="74">
      <c r="A74" s="6" t="n">
        <v>73</v>
      </c>
      <c r="B74" s="6" t="inlineStr">
        <is>
          <t>13 Complaints &amp; recall</t>
        </is>
      </c>
      <c r="C74" s="6" t="inlineStr">
        <is>
          <t>Public grievance</t>
        </is>
      </c>
      <c r="D74" s="6" t="inlineStr">
        <is>
          <t>Process</t>
        </is>
      </c>
      <c r="E74" s="6" t="inlineStr">
        <is>
          <t>Member of the public</t>
        </is>
      </c>
      <c r="F74" s="6" t="inlineStr">
        <is>
          <t>no sign-in</t>
        </is>
      </c>
      <c r="G74" s="6" t="inlineStr">
        <is>
          <t>Website › Contact</t>
        </is>
      </c>
      <c r="H74" s="6" t="inlineStr">
        <is>
          <t>Send a grievance as a parent, choose Makueni.</t>
        </is>
      </c>
      <c r="I74" s="6" t="inlineStr">
        <is>
          <t>Case number CMP-… given; appears in the county’s complaints.</t>
        </is>
      </c>
      <c r="J74" s="5" t="inlineStr"/>
      <c r="K74" s="5" t="inlineStr"/>
      <c r="L74" s="5" t="inlineStr"/>
      <c r="M74" s="5" t="inlineStr"/>
    </row>
    <row r="75">
      <c r="A75" s="6" t="n">
        <v>74</v>
      </c>
      <c r="B75" s="6" t="inlineStr">
        <is>
          <t>13 Complaints &amp; recall</t>
        </is>
      </c>
      <c r="C75" s="6" t="inlineStr">
        <is>
          <t>Recall a batch</t>
        </is>
      </c>
      <c r="D75" s="6" t="inlineStr">
        <is>
          <t>Process</t>
        </is>
      </c>
      <c r="E75" s="6" t="inlineStr">
        <is>
          <t>Quality Inspector</t>
        </is>
      </c>
      <c r="F75" s="6" t="inlineStr">
        <is>
          <t>inspector@demo.lishebora</t>
        </is>
      </c>
      <c r="G75" s="6" t="inlineStr">
        <is>
          <t>Fulfil › Traceability › (batch)</t>
        </is>
      </c>
      <c r="H75" s="6" t="inlineStr">
        <is>
          <t>Open the delivered batch and recall it with a reason. (A supplier cannot recall.)</t>
        </is>
      </c>
      <c r="I75" s="6" t="inlineStr">
        <is>
          <t>Schools warned; QR page shows RECALLED; recorded use of that batch blocked.</t>
        </is>
      </c>
      <c r="J75" s="5" t="inlineStr"/>
      <c r="K75" s="5" t="inlineStr"/>
      <c r="L75" s="5" t="inlineStr"/>
      <c r="M75" s="5" t="inlineStr"/>
    </row>
    <row r="76">
      <c r="A76" s="8" t="n">
        <v>75</v>
      </c>
      <c r="B76" s="8" t="inlineStr">
        <is>
          <t>14 Monitoring &amp; audit</t>
        </is>
      </c>
      <c r="C76" s="8" t="inlineStr">
        <is>
          <t>MEAL dashboard and exports</t>
        </is>
      </c>
      <c r="D76" s="8" t="inlineStr">
        <is>
          <t>Process</t>
        </is>
      </c>
      <c r="E76" s="8" t="inlineStr">
        <is>
          <t>Programme MEAL Officer</t>
        </is>
      </c>
      <c r="F76" s="8" t="inlineStr">
        <is>
          <t>meal@demo.lishebora</t>
        </is>
      </c>
      <c r="G76" s="8" t="inlineStr">
        <is>
          <t>Performance &amp; finance › MEAL dashboard</t>
        </is>
      </c>
      <c r="H76" s="8" t="inlineStr">
        <is>
          <t>Review reach, sourcing, finance; download Excel exports.</t>
        </is>
      </c>
      <c r="I76" s="8" t="inlineStr">
        <is>
          <t>Figures reflect this test cycle.</t>
        </is>
      </c>
      <c r="J76" s="5" t="inlineStr"/>
      <c r="K76" s="5" t="inlineStr"/>
      <c r="L76" s="5" t="inlineStr"/>
      <c r="M76" s="5" t="inlineStr"/>
    </row>
    <row r="77">
      <c r="A77" s="8" t="n">
        <v>76</v>
      </c>
      <c r="B77" s="8" t="inlineStr">
        <is>
          <t>14 Monitoring &amp; audit</t>
        </is>
      </c>
      <c r="C77" s="8" t="inlineStr">
        <is>
          <t>Supplier scorecards</t>
        </is>
      </c>
      <c r="D77" s="8" t="inlineStr">
        <is>
          <t>Process</t>
        </is>
      </c>
      <c r="E77" s="8" t="inlineStr">
        <is>
          <t>County Procurement Officer</t>
        </is>
      </c>
      <c r="F77" s="8" t="inlineStr">
        <is>
          <t>procurement@demo.lishebora</t>
        </is>
      </c>
      <c r="G77" s="8" t="inlineStr">
        <is>
          <t>Performance &amp; finance › Supplier performance</t>
        </is>
      </c>
      <c r="H77" s="8" t="inlineStr">
        <is>
          <t>Open the scorecards.</t>
        </is>
      </c>
      <c r="I77" s="8" t="inlineStr">
        <is>
          <t>Umoja shows deliveries and a score.</t>
        </is>
      </c>
      <c r="J77" s="5" t="inlineStr"/>
      <c r="K77" s="5" t="inlineStr"/>
      <c r="L77" s="5" t="inlineStr"/>
      <c r="M77" s="5" t="inlineStr"/>
    </row>
    <row r="78">
      <c r="A78" s="8" t="n">
        <v>77</v>
      </c>
      <c r="B78" s="8" t="inlineStr">
        <is>
          <t>14 Monitoring &amp; audit</t>
        </is>
      </c>
      <c r="C78" s="8" t="inlineStr">
        <is>
          <t>Price intelligence</t>
        </is>
      </c>
      <c r="D78" s="8" t="inlineStr">
        <is>
          <t>Process</t>
        </is>
      </c>
      <c r="E78" s="8" t="inlineStr">
        <is>
          <t>County Procurement Officer</t>
        </is>
      </c>
      <c r="F78" s="8" t="inlineStr">
        <is>
          <t>procurement@demo.lishebora</t>
        </is>
      </c>
      <c r="G78" s="8" t="inlineStr">
        <is>
          <t>Performance &amp; finance › Forecasts &amp; prices</t>
        </is>
      </c>
      <c r="H78" s="8" t="inlineStr">
        <is>
          <t>Open prices (suppliers cannot see this page).</t>
        </is>
      </c>
      <c r="I78" s="8" t="inlineStr">
        <is>
          <t>Median prices per food item.</t>
        </is>
      </c>
      <c r="J78" s="5" t="inlineStr"/>
      <c r="K78" s="5" t="inlineStr"/>
      <c r="L78" s="5" t="inlineStr"/>
      <c r="M78" s="5" t="inlineStr"/>
    </row>
    <row r="79">
      <c r="A79" s="8" t="n">
        <v>78</v>
      </c>
      <c r="B79" s="8" t="inlineStr">
        <is>
          <t>14 Monitoring &amp; audit</t>
        </is>
      </c>
      <c r="C79" s="8" t="inlineStr">
        <is>
          <t>Risk flags</t>
        </is>
      </c>
      <c r="D79" s="8" t="inlineStr">
        <is>
          <t>Process</t>
        </is>
      </c>
      <c r="E79" s="8" t="inlineStr">
        <is>
          <t>Risk &amp; Compliance Officer</t>
        </is>
      </c>
      <c r="F79" s="8" t="inlineStr">
        <is>
          <t>risk@demo.lishebora</t>
        </is>
      </c>
      <c r="G79" s="8" t="inlineStr">
        <is>
          <t>Oversight › Risk dashboard</t>
        </is>
      </c>
      <c r="H79" s="8" t="inlineStr">
        <is>
          <t>Review flags and run a scan.</t>
        </is>
      </c>
      <c r="I79" s="8" t="inlineStr">
        <is>
          <t>Flags listed (e.g. the recall).</t>
        </is>
      </c>
      <c r="J79" s="5" t="inlineStr"/>
      <c r="K79" s="5" t="inlineStr"/>
      <c r="L79" s="5" t="inlineStr"/>
      <c r="M79" s="5" t="inlineStr"/>
    </row>
    <row r="80">
      <c r="A80" s="8" t="n">
        <v>79</v>
      </c>
      <c r="B80" s="8" t="inlineStr">
        <is>
          <t>14 Monitoring &amp; audit</t>
        </is>
      </c>
      <c r="C80" s="8" t="inlineStr">
        <is>
          <t>Programme map</t>
        </is>
      </c>
      <c r="D80" s="8" t="inlineStr">
        <is>
          <t>Process</t>
        </is>
      </c>
      <c r="E80" s="8" t="inlineStr">
        <is>
          <t>Programme MEAL Officer</t>
        </is>
      </c>
      <c r="F80" s="8" t="inlineStr">
        <is>
          <t>meal@demo.lishebora</t>
        </is>
      </c>
      <c r="G80" s="8" t="inlineStr">
        <is>
          <t>Performance &amp; finance › Programme map</t>
        </is>
      </c>
      <c r="H80" s="8" t="inlineStr">
        <is>
          <t>Open the map.</t>
        </is>
      </c>
      <c r="I80" s="8" t="inlineStr">
        <is>
          <t>Kalulini, hub and store shown.</t>
        </is>
      </c>
      <c r="J80" s="5" t="inlineStr"/>
      <c r="K80" s="5" t="inlineStr"/>
      <c r="L80" s="5" t="inlineStr"/>
      <c r="M80" s="5" t="inlineStr"/>
    </row>
    <row r="81">
      <c r="A81" s="8" t="n">
        <v>80</v>
      </c>
      <c r="B81" s="8" t="inlineStr">
        <is>
          <t>14 Monitoring &amp; audit</t>
        </is>
      </c>
      <c r="C81" s="8" t="inlineStr">
        <is>
          <t>Audit trail</t>
        </is>
      </c>
      <c r="D81" s="8" t="inlineStr">
        <is>
          <t>Process</t>
        </is>
      </c>
      <c r="E81" s="8" t="inlineStr">
        <is>
          <t>Auditor</t>
        </is>
      </c>
      <c r="F81" s="8" t="inlineStr">
        <is>
          <t>auditor@demo.lishebora</t>
        </is>
      </c>
      <c r="G81" s="8" t="inlineStr">
        <is>
          <t>Oversight › Audit trail</t>
        </is>
      </c>
      <c r="H81" s="8" t="inlineStr">
        <is>
          <t>Search the actions done in this test.</t>
        </is>
      </c>
      <c r="I81" s="8" t="inlineStr">
        <is>
          <t>Every action listed with who and when; nothing can be edited.</t>
        </is>
      </c>
      <c r="J81" s="5" t="inlineStr"/>
      <c r="K81" s="5" t="inlineStr"/>
      <c r="L81" s="5" t="inlineStr"/>
      <c r="M81" s="5" t="inlineStr"/>
    </row>
    <row r="82">
      <c r="A82" s="8" t="n">
        <v>81</v>
      </c>
      <c r="B82" s="8" t="inlineStr">
        <is>
          <t>14 Monitoring &amp; audit</t>
        </is>
      </c>
      <c r="C82" s="8" t="inlineStr">
        <is>
          <t>Data scope</t>
        </is>
      </c>
      <c r="D82" s="9" t="inlineStr">
        <is>
          <t>Control</t>
        </is>
      </c>
      <c r="E82" s="8" t="inlineStr">
        <is>
          <t>School Administrator</t>
        </is>
      </c>
      <c r="F82" s="8" t="inlineStr">
        <is>
          <t>school.admin@demo.lishebora</t>
        </is>
      </c>
      <c r="G82" s="8" t="inlineStr">
        <is>
          <t>Any list page</t>
        </is>
      </c>
      <c r="H82" s="8" t="inlineStr">
        <is>
          <t>Check lists show only Kalulini / Makueni.</t>
        </is>
      </c>
      <c r="I82" s="8" t="inlineStr">
        <is>
          <t>No other school or county visible.</t>
        </is>
      </c>
      <c r="J82" s="5" t="inlineStr"/>
      <c r="K82" s="5" t="inlineStr"/>
      <c r="L82" s="5" t="inlineStr"/>
      <c r="M82" s="5" t="inlineStr"/>
    </row>
    <row r="83">
      <c r="A83" s="6" t="n">
        <v>82</v>
      </c>
      <c r="B83" s="6" t="inlineStr">
        <is>
          <t>15 Website content</t>
        </is>
      </c>
      <c r="C83" s="6" t="inlineStr">
        <is>
          <t>Draft and publish news</t>
        </is>
      </c>
      <c r="D83" s="6" t="inlineStr">
        <is>
          <t>Process</t>
        </is>
      </c>
      <c r="E83" s="6" t="inlineStr">
        <is>
          <t>Content Editor</t>
        </is>
      </c>
      <c r="F83" s="6" t="inlineStr">
        <is>
          <t>editor@demo.lishebora</t>
        </is>
      </c>
      <c r="G83" s="6" t="inlineStr">
        <is>
          <t>Administration › Website content</t>
        </is>
      </c>
      <c r="H83" s="6" t="inlineStr">
        <is>
          <t>Write a news post and submit it (you cannot publish).</t>
        </is>
      </c>
      <c r="I83" s="6" t="inlineStr">
        <is>
          <t>Waits for review.</t>
        </is>
      </c>
      <c r="J83" s="5" t="inlineStr"/>
      <c r="K83" s="5" t="inlineStr"/>
      <c r="L83" s="5" t="inlineStr"/>
      <c r="M83" s="5" t="inlineStr"/>
    </row>
    <row r="84">
      <c r="A84" s="6" t="n">
        <v>83</v>
      </c>
      <c r="B84" s="6" t="inlineStr">
        <is>
          <t>15 Website content</t>
        </is>
      </c>
      <c r="C84" s="6" t="inlineStr">
        <is>
          <t>Publish</t>
        </is>
      </c>
      <c r="D84" s="6" t="inlineStr">
        <is>
          <t>Process</t>
        </is>
      </c>
      <c r="E84" s="6" t="inlineStr">
        <is>
          <t>Administrator</t>
        </is>
      </c>
      <c r="F84" s="6" t="inlineStr">
        <is>
          <t>administrator@demo.lishebora</t>
        </is>
      </c>
      <c r="G84" s="6" t="inlineStr">
        <is>
          <t>Administration › Website content</t>
        </is>
      </c>
      <c r="H84" s="6" t="inlineStr">
        <is>
          <t>Review and publish the post; edit and publish the homepage banner.</t>
        </is>
      </c>
      <c r="I84" s="6" t="inlineStr">
        <is>
          <t>Live on the website.</t>
        </is>
      </c>
      <c r="J84" s="5" t="inlineStr"/>
      <c r="K84" s="5" t="inlineStr"/>
      <c r="L84" s="5" t="inlineStr"/>
      <c r="M84" s="5" t="inlineStr"/>
    </row>
    <row r="85">
      <c r="A85" s="8" t="n">
        <v>84</v>
      </c>
      <c r="B85" s="8" t="inlineStr">
        <is>
          <t>16 Menus &amp; access</t>
        </is>
      </c>
      <c r="C85" s="8" t="inlineStr">
        <is>
          <t>Each role sees only its own pages</t>
        </is>
      </c>
      <c r="D85" s="8" t="inlineStr">
        <is>
          <t>Process</t>
        </is>
      </c>
      <c r="E85" s="8" t="inlineStr">
        <is>
          <t>Evaluation Committee Member 1</t>
        </is>
      </c>
      <c r="F85" s="8" t="inlineStr">
        <is>
          <t>evaluator1@demo.lishebora</t>
        </is>
      </c>
      <c r="G85" s="8" t="inlineStr">
        <is>
          <t>Menu on the left</t>
        </is>
      </c>
      <c r="H85" s="8" t="inlineStr">
        <is>
          <t>Sign in as several roles (e.g. evaluator, driver, school administrator) and look at the menu.</t>
        </is>
      </c>
      <c r="I85" s="8" t="inlineStr">
        <is>
          <t>Only the pages listed on the Accounts sheet for that role (plus Dashboard, Notifications, My profile).</t>
        </is>
      </c>
      <c r="J85" s="5" t="inlineStr"/>
      <c r="K85" s="5" t="inlineStr"/>
      <c r="L85" s="5" t="inlineStr"/>
      <c r="M85" s="5" t="inlineStr"/>
    </row>
    <row r="86">
      <c r="A86" s="8" t="n">
        <v>85</v>
      </c>
      <c r="B86" s="8" t="inlineStr">
        <is>
          <t>16 Menus &amp; access</t>
        </is>
      </c>
      <c r="C86" s="8" t="inlineStr">
        <is>
          <t>Hidden page cannot be opened by address</t>
        </is>
      </c>
      <c r="D86" s="9" t="inlineStr">
        <is>
          <t>Control</t>
        </is>
      </c>
      <c r="E86" s="8" t="inlineStr">
        <is>
          <t>Driver</t>
        </is>
      </c>
      <c r="F86" s="8" t="inlineStr">
        <is>
          <t>driver@demo.lishebora</t>
        </is>
      </c>
      <c r="G86" s="8" t="inlineStr">
        <is>
          <t>Browser address bar</t>
        </is>
      </c>
      <c r="H86" s="8" t="inlineStr">
        <is>
          <t>As the driver, type …/app/invoices in the address bar.</t>
        </is>
      </c>
      <c r="I86" s="8" t="inlineStr">
        <is>
          <t>Message ‘Not part of your account’.</t>
        </is>
      </c>
      <c r="J86" s="5" t="inlineStr"/>
      <c r="K86" s="5" t="inlineStr"/>
      <c r="L86" s="5" t="inlineStr"/>
      <c r="M86" s="5" t="inlineStr"/>
    </row>
    <row r="87">
      <c r="A87" s="8" t="n">
        <v>86</v>
      </c>
      <c r="B87" s="8" t="inlineStr">
        <is>
          <t>16 Menus &amp; access</t>
        </is>
      </c>
      <c r="C87" s="8" t="inlineStr">
        <is>
          <t>Super Administrator adds a page for one person</t>
        </is>
      </c>
      <c r="D87" s="8" t="inlineStr">
        <is>
          <t>Process</t>
        </is>
      </c>
      <c r="E87" s="8" t="inlineStr">
        <is>
          <t>Super Administrator</t>
        </is>
      </c>
      <c r="F87" s="8" t="inlineStr">
        <is>
          <t>admin@lishebora.local</t>
        </is>
      </c>
      <c r="G87" s="8" t="inlineStr">
        <is>
          <t>Administration › Features &amp; menus › By person</t>
        </is>
      </c>
      <c r="H87" s="8" t="inlineStr">
        <is>
          <t>Choose Evaluator One, tick ‘Supplier registry’, save. Sign in as evaluator1.</t>
        </is>
      </c>
      <c r="I87" s="8" t="inlineStr">
        <is>
          <t>Supplier registry now appears in Evaluator One’s menu.</t>
        </is>
      </c>
      <c r="J87" s="5" t="inlineStr"/>
      <c r="K87" s="5" t="inlineStr"/>
      <c r="L87" s="5" t="inlineStr"/>
      <c r="M87" s="5" t="inlineStr"/>
    </row>
    <row r="88">
      <c r="A88" s="8" t="n">
        <v>87</v>
      </c>
      <c r="B88" s="8" t="inlineStr">
        <is>
          <t>16 Menus &amp; access</t>
        </is>
      </c>
      <c r="C88" s="8" t="inlineStr">
        <is>
          <t>A page the role does not allow cannot be added</t>
        </is>
      </c>
      <c r="D88" s="9" t="inlineStr">
        <is>
          <t>Control</t>
        </is>
      </c>
      <c r="E88" s="8" t="inlineStr">
        <is>
          <t>Super Administrator</t>
        </is>
      </c>
      <c r="F88" s="8" t="inlineStr">
        <is>
          <t>admin@lishebora.local</t>
        </is>
      </c>
      <c r="G88" s="8" t="inlineStr">
        <is>
          <t>Administration › Features &amp; menus › By person</t>
        </is>
      </c>
      <c r="H88" s="8" t="inlineStr">
        <is>
          <t>For Evaluator One try to tick ‘Invoices &amp; payments’.</t>
        </is>
      </c>
      <c r="I88" s="8" t="inlineStr">
        <is>
          <t>Cannot be ticked; shows which roles would allow it.</t>
        </is>
      </c>
      <c r="J88" s="5" t="inlineStr"/>
      <c r="K88" s="5" t="inlineStr"/>
      <c r="L88" s="5" t="inlineStr"/>
      <c r="M88" s="5" t="inlineStr"/>
    </row>
    <row r="89">
      <c r="A89" s="8" t="n">
        <v>88</v>
      </c>
      <c r="B89" s="8" t="inlineStr">
        <is>
          <t>16 Menus &amp; access</t>
        </is>
      </c>
      <c r="C89" s="8" t="inlineStr">
        <is>
          <t>Change a role's standard menu</t>
        </is>
      </c>
      <c r="D89" s="8" t="inlineStr">
        <is>
          <t>Process</t>
        </is>
      </c>
      <c r="E89" s="8" t="inlineStr">
        <is>
          <t>Super Administrator</t>
        </is>
      </c>
      <c r="F89" s="8" t="inlineStr">
        <is>
          <t>admin@lishebora.local</t>
        </is>
      </c>
      <c r="G89" s="8" t="inlineStr">
        <is>
          <t>Administration › Features &amp; menus › By role</t>
        </is>
      </c>
      <c r="H89" s="8" t="inlineStr">
        <is>
          <t>Choose Driver, add ‘Complaints’, save; sign in as the driver; then ‘Reset to standard’.</t>
        </is>
      </c>
      <c r="I89" s="8" t="inlineStr">
        <is>
          <t>Complaints appears for all drivers, and disappears after reset.</t>
        </is>
      </c>
      <c r="J89" s="5" t="inlineStr"/>
      <c r="K89" s="5" t="inlineStr"/>
      <c r="L89" s="5" t="inlineStr"/>
      <c r="M89" s="5" t="inlineStr"/>
    </row>
    <row r="90">
      <c r="A90" s="8" t="n">
        <v>89</v>
      </c>
      <c r="B90" s="8" t="inlineStr">
        <is>
          <t>16 Menus &amp; access</t>
        </is>
      </c>
      <c r="C90" s="8" t="inlineStr">
        <is>
          <t>Administrator cannot change menus</t>
        </is>
      </c>
      <c r="D90" s="9" t="inlineStr">
        <is>
          <t>Control</t>
        </is>
      </c>
      <c r="E90" s="8" t="inlineStr">
        <is>
          <t>Administrator</t>
        </is>
      </c>
      <c r="F90" s="8" t="inlineStr">
        <is>
          <t>administrator@demo.lishebora</t>
        </is>
      </c>
      <c r="G90" s="8" t="inlineStr">
        <is>
          <t>Administration</t>
        </is>
      </c>
      <c r="H90" s="8" t="inlineStr">
        <is>
          <t>As administrator@demo.lishebora look for Features &amp; menus.</t>
        </is>
      </c>
      <c r="I90" s="8" t="inlineStr">
        <is>
          <t>Not in the menu (Super Administrator only).</t>
        </is>
      </c>
      <c r="J90" s="5" t="inlineStr"/>
      <c r="K90" s="5" t="inlineStr"/>
      <c r="L90" s="5" t="inlineStr"/>
      <c r="M90" s="5" t="inlineStr"/>
    </row>
  </sheetData>
  <autoFilter ref="A1:M90"/>
  <conditionalFormatting sqref="J2:J9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showDropDown="0" showInputMessage="0" showErrorMessage="0" allowBlank="1" type="list">
      <formula1>"Pass,Fail,Blocked,Not tested"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6" customWidth="1" min="1" max="1"/>
  </cols>
  <sheetData>
    <row r="1">
      <c r="A1" s="4" t="inlineStr">
        <is>
          <t>Stage</t>
        </is>
      </c>
      <c r="B1" s="4" t="inlineStr">
        <is>
          <t>Steps</t>
        </is>
      </c>
      <c r="C1" s="4" t="inlineStr">
        <is>
          <t>Pass</t>
        </is>
      </c>
      <c r="D1" s="4" t="inlineStr">
        <is>
          <t>Fail</t>
        </is>
      </c>
      <c r="E1" s="4" t="inlineStr">
        <is>
          <t>Blocked</t>
        </is>
      </c>
      <c r="F1" s="4" t="inlineStr">
        <is>
          <t>Not done</t>
        </is>
      </c>
    </row>
    <row r="2">
      <c r="A2" t="inlineStr">
        <is>
          <t>1 Set-up</t>
        </is>
      </c>
      <c r="B2">
        <f>COUNTIF('Test script'!B2:B90,A2)</f>
        <v/>
      </c>
      <c r="C2">
        <f>COUNTIFS('Test script'!B2:B90,A2,'Test script'!J2:J90,"Pass")</f>
        <v/>
      </c>
      <c r="D2">
        <f>COUNTIFS('Test script'!B2:B90,A2,'Test script'!J2:J90,"Fail")</f>
        <v/>
      </c>
      <c r="E2">
        <f>COUNTIFS('Test script'!B2:B90,A2,'Test script'!J2:J90,"Blocked")</f>
        <v/>
      </c>
      <c r="F2">
        <f>B2-C2-D2-E2</f>
        <v/>
      </c>
    </row>
    <row r="3">
      <c r="A3" t="inlineStr">
        <is>
          <t>2 Menu</t>
        </is>
      </c>
      <c r="B3">
        <f>COUNTIF('Test script'!B2:B90,A3)</f>
        <v/>
      </c>
      <c r="C3">
        <f>COUNTIFS('Test script'!B2:B90,A3,'Test script'!J2:J90,"Pass")</f>
        <v/>
      </c>
      <c r="D3">
        <f>COUNTIFS('Test script'!B2:B90,A3,'Test script'!J2:J90,"Fail")</f>
        <v/>
      </c>
      <c r="E3">
        <f>COUNTIFS('Test script'!B2:B90,A3,'Test script'!J2:J90,"Blocked")</f>
        <v/>
      </c>
      <c r="F3">
        <f>B3-C3-D3-E3</f>
        <v/>
      </c>
    </row>
    <row r="4">
      <c r="A4" t="inlineStr">
        <is>
          <t>3 School demand</t>
        </is>
      </c>
      <c r="B4">
        <f>COUNTIF('Test script'!B2:B90,A4)</f>
        <v/>
      </c>
      <c r="C4">
        <f>COUNTIFS('Test script'!B2:B90,A4,'Test script'!J2:J90,"Pass")</f>
        <v/>
      </c>
      <c r="D4">
        <f>COUNTIFS('Test script'!B2:B90,A4,'Test script'!J2:J90,"Fail")</f>
        <v/>
      </c>
      <c r="E4">
        <f>COUNTIFS('Test script'!B2:B90,A4,'Test script'!J2:J90,"Blocked")</f>
        <v/>
      </c>
      <c r="F4">
        <f>B4-C4-D4-E4</f>
        <v/>
      </c>
    </row>
    <row r="5">
      <c r="A5" t="inlineStr">
        <is>
          <t>4 Budget &amp; plan</t>
        </is>
      </c>
      <c r="B5">
        <f>COUNTIF('Test script'!B2:B90,A5)</f>
        <v/>
      </c>
      <c r="C5">
        <f>COUNTIFS('Test script'!B2:B90,A5,'Test script'!J2:J90,"Pass")</f>
        <v/>
      </c>
      <c r="D5">
        <f>COUNTIFS('Test script'!B2:B90,A5,'Test script'!J2:J90,"Fail")</f>
        <v/>
      </c>
      <c r="E5">
        <f>COUNTIFS('Test script'!B2:B90,A5,'Test script'!J2:J90,"Blocked")</f>
        <v/>
      </c>
      <c r="F5">
        <f>B5-C5-D5-E5</f>
        <v/>
      </c>
    </row>
    <row r="6">
      <c r="A6" t="inlineStr">
        <is>
          <t>5 Supplier onboarding</t>
        </is>
      </c>
      <c r="B6">
        <f>COUNTIF('Test script'!B2:B90,A6)</f>
        <v/>
      </c>
      <c r="C6">
        <f>COUNTIFS('Test script'!B2:B90,A6,'Test script'!J2:J90,"Pass")</f>
        <v/>
      </c>
      <c r="D6">
        <f>COUNTIFS('Test script'!B2:B90,A6,'Test script'!J2:J90,"Fail")</f>
        <v/>
      </c>
      <c r="E6">
        <f>COUNTIFS('Test script'!B2:B90,A6,'Test script'!J2:J90,"Blocked")</f>
        <v/>
      </c>
      <c r="F6">
        <f>B6-C6-D6-E6</f>
        <v/>
      </c>
    </row>
    <row r="7">
      <c r="A7" t="inlineStr">
        <is>
          <t>6 Sourcing</t>
        </is>
      </c>
      <c r="B7">
        <f>COUNTIF('Test script'!B2:B90,A7)</f>
        <v/>
      </c>
      <c r="C7">
        <f>COUNTIFS('Test script'!B2:B90,A7,'Test script'!J2:J90,"Pass")</f>
        <v/>
      </c>
      <c r="D7">
        <f>COUNTIFS('Test script'!B2:B90,A7,'Test script'!J2:J90,"Fail")</f>
        <v/>
      </c>
      <c r="E7">
        <f>COUNTIFS('Test script'!B2:B90,A7,'Test script'!J2:J90,"Blocked")</f>
        <v/>
      </c>
      <c r="F7">
        <f>B7-C7-D7-E7</f>
        <v/>
      </c>
    </row>
    <row r="8">
      <c r="A8" t="inlineStr">
        <is>
          <t>7 Contract &amp; order</t>
        </is>
      </c>
      <c r="B8">
        <f>COUNTIF('Test script'!B2:B90,A8)</f>
        <v/>
      </c>
      <c r="C8">
        <f>COUNTIFS('Test script'!B2:B90,A8,'Test script'!J2:J90,"Pass")</f>
        <v/>
      </c>
      <c r="D8">
        <f>COUNTIFS('Test script'!B2:B90,A8,'Test script'!J2:J90,"Fail")</f>
        <v/>
      </c>
      <c r="E8">
        <f>COUNTIFS('Test script'!B2:B90,A8,'Test script'!J2:J90,"Blocked")</f>
        <v/>
      </c>
      <c r="F8">
        <f>B8-C8-D8-E8</f>
        <v/>
      </c>
    </row>
    <row r="9">
      <c r="A9" t="inlineStr">
        <is>
          <t>8 Aggregation &amp; quality</t>
        </is>
      </c>
      <c r="B9">
        <f>COUNTIF('Test script'!B2:B90,A9)</f>
        <v/>
      </c>
      <c r="C9">
        <f>COUNTIFS('Test script'!B2:B90,A9,'Test script'!J2:J90,"Pass")</f>
        <v/>
      </c>
      <c r="D9">
        <f>COUNTIFS('Test script'!B2:B90,A9,'Test script'!J2:J90,"Fail")</f>
        <v/>
      </c>
      <c r="E9">
        <f>COUNTIFS('Test script'!B2:B90,A9,'Test script'!J2:J90,"Blocked")</f>
        <v/>
      </c>
      <c r="F9">
        <f>B9-C9-D9-E9</f>
        <v/>
      </c>
    </row>
    <row r="10">
      <c r="A10" t="inlineStr">
        <is>
          <t>9 Warehouse</t>
        </is>
      </c>
      <c r="B10">
        <f>COUNTIF('Test script'!B2:B90,A10)</f>
        <v/>
      </c>
      <c r="C10">
        <f>COUNTIFS('Test script'!B2:B90,A10,'Test script'!J2:J90,"Pass")</f>
        <v/>
      </c>
      <c r="D10">
        <f>COUNTIFS('Test script'!B2:B90,A10,'Test script'!J2:J90,"Fail")</f>
        <v/>
      </c>
      <c r="E10">
        <f>COUNTIFS('Test script'!B2:B90,A10,'Test script'!J2:J90,"Blocked")</f>
        <v/>
      </c>
      <c r="F10">
        <f>B10-C10-D10-E10</f>
        <v/>
      </c>
    </row>
    <row r="11">
      <c r="A11" t="inlineStr">
        <is>
          <t>10 Dispatch &amp; delivery</t>
        </is>
      </c>
      <c r="B11">
        <f>COUNTIF('Test script'!B2:B90,A11)</f>
        <v/>
      </c>
      <c r="C11">
        <f>COUNTIFS('Test script'!B2:B90,A11,'Test script'!J2:J90,"Pass")</f>
        <v/>
      </c>
      <c r="D11">
        <f>COUNTIFS('Test script'!B2:B90,A11,'Test script'!J2:J90,"Fail")</f>
        <v/>
      </c>
      <c r="E11">
        <f>COUNTIFS('Test script'!B2:B90,A11,'Test script'!J2:J90,"Blocked")</f>
        <v/>
      </c>
      <c r="F11">
        <f>B11-C11-D11-E11</f>
        <v/>
      </c>
    </row>
    <row r="12">
      <c r="A12" t="inlineStr">
        <is>
          <t>11 School stock</t>
        </is>
      </c>
      <c r="B12">
        <f>COUNTIF('Test script'!B2:B90,A12)</f>
        <v/>
      </c>
      <c r="C12">
        <f>COUNTIFS('Test script'!B2:B90,A12,'Test script'!J2:J90,"Pass")</f>
        <v/>
      </c>
      <c r="D12">
        <f>COUNTIFS('Test script'!B2:B90,A12,'Test script'!J2:J90,"Fail")</f>
        <v/>
      </c>
      <c r="E12">
        <f>COUNTIFS('Test script'!B2:B90,A12,'Test script'!J2:J90,"Blocked")</f>
        <v/>
      </c>
      <c r="F12">
        <f>B12-C12-D12-E12</f>
        <v/>
      </c>
    </row>
    <row r="13">
      <c r="A13" t="inlineStr">
        <is>
          <t>12 Invoice &amp; payment</t>
        </is>
      </c>
      <c r="B13">
        <f>COUNTIF('Test script'!B2:B90,A13)</f>
        <v/>
      </c>
      <c r="C13">
        <f>COUNTIFS('Test script'!B2:B90,A13,'Test script'!J2:J90,"Pass")</f>
        <v/>
      </c>
      <c r="D13">
        <f>COUNTIFS('Test script'!B2:B90,A13,'Test script'!J2:J90,"Fail")</f>
        <v/>
      </c>
      <c r="E13">
        <f>COUNTIFS('Test script'!B2:B90,A13,'Test script'!J2:J90,"Blocked")</f>
        <v/>
      </c>
      <c r="F13">
        <f>B13-C13-D13-E13</f>
        <v/>
      </c>
    </row>
    <row r="14">
      <c r="A14" t="inlineStr">
        <is>
          <t>13 Complaints &amp; recall</t>
        </is>
      </c>
      <c r="B14">
        <f>COUNTIF('Test script'!B2:B90,A14)</f>
        <v/>
      </c>
      <c r="C14">
        <f>COUNTIFS('Test script'!B2:B90,A14,'Test script'!J2:J90,"Pass")</f>
        <v/>
      </c>
      <c r="D14">
        <f>COUNTIFS('Test script'!B2:B90,A14,'Test script'!J2:J90,"Fail")</f>
        <v/>
      </c>
      <c r="E14">
        <f>COUNTIFS('Test script'!B2:B90,A14,'Test script'!J2:J90,"Blocked")</f>
        <v/>
      </c>
      <c r="F14">
        <f>B14-C14-D14-E14</f>
        <v/>
      </c>
    </row>
    <row r="15">
      <c r="A15" t="inlineStr">
        <is>
          <t>14 Monitoring &amp; audit</t>
        </is>
      </c>
      <c r="B15">
        <f>COUNTIF('Test script'!B2:B90,A15)</f>
        <v/>
      </c>
      <c r="C15">
        <f>COUNTIFS('Test script'!B2:B90,A15,'Test script'!J2:J90,"Pass")</f>
        <v/>
      </c>
      <c r="D15">
        <f>COUNTIFS('Test script'!B2:B90,A15,'Test script'!J2:J90,"Fail")</f>
        <v/>
      </c>
      <c r="E15">
        <f>COUNTIFS('Test script'!B2:B90,A15,'Test script'!J2:J90,"Blocked")</f>
        <v/>
      </c>
      <c r="F15">
        <f>B15-C15-D15-E15</f>
        <v/>
      </c>
    </row>
    <row r="16">
      <c r="A16" t="inlineStr">
        <is>
          <t>15 Website content</t>
        </is>
      </c>
      <c r="B16">
        <f>COUNTIF('Test script'!B2:B90,A16)</f>
        <v/>
      </c>
      <c r="C16">
        <f>COUNTIFS('Test script'!B2:B90,A16,'Test script'!J2:J90,"Pass")</f>
        <v/>
      </c>
      <c r="D16">
        <f>COUNTIFS('Test script'!B2:B90,A16,'Test script'!J2:J90,"Fail")</f>
        <v/>
      </c>
      <c r="E16">
        <f>COUNTIFS('Test script'!B2:B90,A16,'Test script'!J2:J90,"Blocked")</f>
        <v/>
      </c>
      <c r="F16">
        <f>B16-C16-D16-E16</f>
        <v/>
      </c>
    </row>
    <row r="17">
      <c r="A17" t="inlineStr">
        <is>
          <t>16 Menus &amp; access</t>
        </is>
      </c>
      <c r="B17">
        <f>COUNTIF('Test script'!B2:B90,A17)</f>
        <v/>
      </c>
      <c r="C17">
        <f>COUNTIFS('Test script'!B2:B90,A17,'Test script'!J2:J90,"Pass")</f>
        <v/>
      </c>
      <c r="D17">
        <f>COUNTIFS('Test script'!B2:B90,A17,'Test script'!J2:J90,"Fail")</f>
        <v/>
      </c>
      <c r="E17">
        <f>COUNTIFS('Test script'!B2:B90,A17,'Test script'!J2:J90,"Blocked")</f>
        <v/>
      </c>
      <c r="F17">
        <f>B17-C17-D17-E17</f>
        <v/>
      </c>
    </row>
    <row r="18">
      <c r="A18" s="10" t="inlineStr">
        <is>
          <t>Total</t>
        </is>
      </c>
      <c r="B18" s="10">
        <f>SUM(B2:B17)</f>
        <v/>
      </c>
      <c r="C18" s="10">
        <f>SUM(C2:C17)</f>
        <v/>
      </c>
      <c r="D18" s="10">
        <f>SUM(D2:D17)</f>
        <v/>
      </c>
      <c r="E18" s="10">
        <f>SUM(E2:E17)</f>
        <v/>
      </c>
      <c r="F18" s="10">
        <f>SUM(F2:F17)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8" customWidth="1" min="3" max="3"/>
    <col width="12" customWidth="1" min="4" max="4"/>
    <col width="50" customWidth="1" min="5" max="5"/>
    <col width="40" customWidth="1" min="6" max="6"/>
    <col width="11" customWidth="1" min="7" max="7"/>
    <col width="24" customWidth="1" min="8" max="8"/>
    <col width="13" customWidth="1" min="9" max="9"/>
    <col width="12" customWidth="1" min="10" max="10"/>
  </cols>
  <sheetData>
    <row r="1">
      <c r="A1" s="4" t="inlineStr">
        <is>
          <t>#</t>
        </is>
      </c>
      <c r="B1" s="4" t="inlineStr">
        <is>
          <t>Step #</t>
        </is>
      </c>
      <c r="C1" s="4" t="inlineStr">
        <is>
          <t>Found by</t>
        </is>
      </c>
      <c r="D1" s="4" t="inlineStr">
        <is>
          <t>Date</t>
        </is>
      </c>
      <c r="E1" s="4" t="inlineStr">
        <is>
          <t>What happened</t>
        </is>
      </c>
      <c r="F1" s="4" t="inlineStr">
        <is>
          <t>Expected</t>
        </is>
      </c>
      <c r="G1" s="4" t="inlineStr">
        <is>
          <t>Severity</t>
        </is>
      </c>
      <c r="H1" s="4" t="inlineStr">
        <is>
          <t>Screenshot / file</t>
        </is>
      </c>
      <c r="I1" s="4" t="inlineStr">
        <is>
          <t>Status</t>
        </is>
      </c>
      <c r="J1" s="4" t="inlineStr">
        <is>
          <t>Fixed in</t>
        </is>
      </c>
    </row>
    <row r="2">
      <c r="A2" s="11" t="n">
        <v>1</v>
      </c>
      <c r="B2" s="11" t="n"/>
      <c r="C2" s="11" t="n"/>
      <c r="D2" s="11" t="n"/>
      <c r="E2" s="11" t="n"/>
      <c r="F2" s="11" t="n"/>
      <c r="G2" s="11" t="n"/>
      <c r="H2" s="11" t="n"/>
      <c r="I2" s="11" t="n"/>
      <c r="J2" s="11" t="n"/>
    </row>
    <row r="3">
      <c r="A3" s="11" t="n">
        <v>2</v>
      </c>
      <c r="B3" s="11" t="n"/>
      <c r="C3" s="11" t="n"/>
      <c r="D3" s="11" t="n"/>
      <c r="E3" s="11" t="n"/>
      <c r="F3" s="11" t="n"/>
      <c r="G3" s="11" t="n"/>
      <c r="H3" s="11" t="n"/>
      <c r="I3" s="11" t="n"/>
      <c r="J3" s="11" t="n"/>
    </row>
    <row r="4">
      <c r="A4" s="11" t="n">
        <v>3</v>
      </c>
      <c r="B4" s="11" t="n"/>
      <c r="C4" s="11" t="n"/>
      <c r="D4" s="11" t="n"/>
      <c r="E4" s="11" t="n"/>
      <c r="F4" s="11" t="n"/>
      <c r="G4" s="11" t="n"/>
      <c r="H4" s="11" t="n"/>
      <c r="I4" s="11" t="n"/>
      <c r="J4" s="11" t="n"/>
    </row>
    <row r="5">
      <c r="A5" s="11" t="n">
        <v>4</v>
      </c>
      <c r="B5" s="11" t="n"/>
      <c r="C5" s="11" t="n"/>
      <c r="D5" s="11" t="n"/>
      <c r="E5" s="11" t="n"/>
      <c r="F5" s="11" t="n"/>
      <c r="G5" s="11" t="n"/>
      <c r="H5" s="11" t="n"/>
      <c r="I5" s="11" t="n"/>
      <c r="J5" s="11" t="n"/>
    </row>
    <row r="6">
      <c r="A6" s="11" t="n">
        <v>5</v>
      </c>
      <c r="B6" s="11" t="n"/>
      <c r="C6" s="11" t="n"/>
      <c r="D6" s="11" t="n"/>
      <c r="E6" s="11" t="n"/>
      <c r="F6" s="11" t="n"/>
      <c r="G6" s="11" t="n"/>
      <c r="H6" s="11" t="n"/>
      <c r="I6" s="11" t="n"/>
      <c r="J6" s="11" t="n"/>
    </row>
    <row r="7">
      <c r="A7" s="11" t="n">
        <v>6</v>
      </c>
      <c r="B7" s="11" t="n"/>
      <c r="C7" s="11" t="n"/>
      <c r="D7" s="11" t="n"/>
      <c r="E7" s="11" t="n"/>
      <c r="F7" s="11" t="n"/>
      <c r="G7" s="11" t="n"/>
      <c r="H7" s="11" t="n"/>
      <c r="I7" s="11" t="n"/>
      <c r="J7" s="11" t="n"/>
    </row>
    <row r="8">
      <c r="A8" s="11" t="n">
        <v>7</v>
      </c>
      <c r="B8" s="11" t="n"/>
      <c r="C8" s="11" t="n"/>
      <c r="D8" s="11" t="n"/>
      <c r="E8" s="11" t="n"/>
      <c r="F8" s="11" t="n"/>
      <c r="G8" s="11" t="n"/>
      <c r="H8" s="11" t="n"/>
      <c r="I8" s="11" t="n"/>
      <c r="J8" s="11" t="n"/>
    </row>
    <row r="9">
      <c r="A9" s="11" t="n">
        <v>8</v>
      </c>
      <c r="B9" s="11" t="n"/>
      <c r="C9" s="11" t="n"/>
      <c r="D9" s="11" t="n"/>
      <c r="E9" s="11" t="n"/>
      <c r="F9" s="11" t="n"/>
      <c r="G9" s="11" t="n"/>
      <c r="H9" s="11" t="n"/>
      <c r="I9" s="11" t="n"/>
      <c r="J9" s="11" t="n"/>
    </row>
    <row r="10">
      <c r="A10" s="11" t="n">
        <v>9</v>
      </c>
      <c r="B10" s="11" t="n"/>
      <c r="C10" s="11" t="n"/>
      <c r="D10" s="11" t="n"/>
      <c r="E10" s="11" t="n"/>
      <c r="F10" s="11" t="n"/>
      <c r="G10" s="11" t="n"/>
      <c r="H10" s="11" t="n"/>
      <c r="I10" s="11" t="n"/>
      <c r="J10" s="11" t="n"/>
    </row>
    <row r="11">
      <c r="A11" s="11" t="n">
        <v>10</v>
      </c>
      <c r="B11" s="11" t="n"/>
      <c r="C11" s="11" t="n"/>
      <c r="D11" s="11" t="n"/>
      <c r="E11" s="11" t="n"/>
      <c r="F11" s="11" t="n"/>
      <c r="G11" s="11" t="n"/>
      <c r="H11" s="11" t="n"/>
      <c r="I11" s="11" t="n"/>
      <c r="J11" s="11" t="n"/>
    </row>
    <row r="12">
      <c r="A12" s="11" t="n">
        <v>11</v>
      </c>
      <c r="B12" s="11" t="n"/>
      <c r="C12" s="11" t="n"/>
      <c r="D12" s="11" t="n"/>
      <c r="E12" s="11" t="n"/>
      <c r="F12" s="11" t="n"/>
      <c r="G12" s="11" t="n"/>
      <c r="H12" s="11" t="n"/>
      <c r="I12" s="11" t="n"/>
      <c r="J12" s="11" t="n"/>
    </row>
    <row r="13">
      <c r="A13" s="11" t="n">
        <v>12</v>
      </c>
      <c r="B13" s="11" t="n"/>
      <c r="C13" s="11" t="n"/>
      <c r="D13" s="11" t="n"/>
      <c r="E13" s="11" t="n"/>
      <c r="F13" s="11" t="n"/>
      <c r="G13" s="11" t="n"/>
      <c r="H13" s="11" t="n"/>
      <c r="I13" s="11" t="n"/>
      <c r="J13" s="11" t="n"/>
    </row>
    <row r="14">
      <c r="A14" s="11" t="n">
        <v>13</v>
      </c>
      <c r="B14" s="11" t="n"/>
      <c r="C14" s="11" t="n"/>
      <c r="D14" s="11" t="n"/>
      <c r="E14" s="11" t="n"/>
      <c r="F14" s="11" t="n"/>
      <c r="G14" s="11" t="n"/>
      <c r="H14" s="11" t="n"/>
      <c r="I14" s="11" t="n"/>
      <c r="J14" s="11" t="n"/>
    </row>
    <row r="15">
      <c r="A15" s="11" t="n">
        <v>14</v>
      </c>
      <c r="B15" s="11" t="n"/>
      <c r="C15" s="11" t="n"/>
      <c r="D15" s="11" t="n"/>
      <c r="E15" s="11" t="n"/>
      <c r="F15" s="11" t="n"/>
      <c r="G15" s="11" t="n"/>
      <c r="H15" s="11" t="n"/>
      <c r="I15" s="11" t="n"/>
      <c r="J15" s="11" t="n"/>
    </row>
    <row r="16">
      <c r="A16" s="11" t="n">
        <v>15</v>
      </c>
      <c r="B16" s="11" t="n"/>
      <c r="C16" s="11" t="n"/>
      <c r="D16" s="11" t="n"/>
      <c r="E16" s="11" t="n"/>
      <c r="F16" s="11" t="n"/>
      <c r="G16" s="11" t="n"/>
      <c r="H16" s="11" t="n"/>
      <c r="I16" s="11" t="n"/>
      <c r="J16" s="11" t="n"/>
    </row>
    <row r="17">
      <c r="A17" s="11" t="n">
        <v>16</v>
      </c>
      <c r="B17" s="11" t="n"/>
      <c r="C17" s="11" t="n"/>
      <c r="D17" s="11" t="n"/>
      <c r="E17" s="11" t="n"/>
      <c r="F17" s="11" t="n"/>
      <c r="G17" s="11" t="n"/>
      <c r="H17" s="11" t="n"/>
      <c r="I17" s="11" t="n"/>
      <c r="J17" s="11" t="n"/>
    </row>
    <row r="18">
      <c r="A18" s="11" t="n">
        <v>17</v>
      </c>
      <c r="B18" s="11" t="n"/>
      <c r="C18" s="11" t="n"/>
      <c r="D18" s="11" t="n"/>
      <c r="E18" s="11" t="n"/>
      <c r="F18" s="11" t="n"/>
      <c r="G18" s="11" t="n"/>
      <c r="H18" s="11" t="n"/>
      <c r="I18" s="11" t="n"/>
      <c r="J18" s="11" t="n"/>
    </row>
    <row r="19">
      <c r="A19" s="11" t="n">
        <v>18</v>
      </c>
      <c r="B19" s="11" t="n"/>
      <c r="C19" s="11" t="n"/>
      <c r="D19" s="11" t="n"/>
      <c r="E19" s="11" t="n"/>
      <c r="F19" s="11" t="n"/>
      <c r="G19" s="11" t="n"/>
      <c r="H19" s="11" t="n"/>
      <c r="I19" s="11" t="n"/>
      <c r="J19" s="11" t="n"/>
    </row>
    <row r="20">
      <c r="A20" s="11" t="n">
        <v>19</v>
      </c>
      <c r="B20" s="11" t="n"/>
      <c r="C20" s="11" t="n"/>
      <c r="D20" s="11" t="n"/>
      <c r="E20" s="11" t="n"/>
      <c r="F20" s="11" t="n"/>
      <c r="G20" s="11" t="n"/>
      <c r="H20" s="11" t="n"/>
      <c r="I20" s="11" t="n"/>
      <c r="J20" s="11" t="n"/>
    </row>
    <row r="21">
      <c r="A21" s="11" t="n">
        <v>20</v>
      </c>
      <c r="B21" s="11" t="n"/>
      <c r="C21" s="11" t="n"/>
      <c r="D21" s="11" t="n"/>
      <c r="E21" s="11" t="n"/>
      <c r="F21" s="11" t="n"/>
      <c r="G21" s="11" t="n"/>
      <c r="H21" s="11" t="n"/>
      <c r="I21" s="11" t="n"/>
      <c r="J21" s="11" t="n"/>
    </row>
    <row r="22">
      <c r="A22" s="11" t="n">
        <v>21</v>
      </c>
      <c r="B22" s="11" t="n"/>
      <c r="C22" s="11" t="n"/>
      <c r="D22" s="11" t="n"/>
      <c r="E22" s="11" t="n"/>
      <c r="F22" s="11" t="n"/>
      <c r="G22" s="11" t="n"/>
      <c r="H22" s="11" t="n"/>
      <c r="I22" s="11" t="n"/>
      <c r="J22" s="11" t="n"/>
    </row>
    <row r="23">
      <c r="A23" s="11" t="n">
        <v>22</v>
      </c>
      <c r="B23" s="11" t="n"/>
      <c r="C23" s="11" t="n"/>
      <c r="D23" s="11" t="n"/>
      <c r="E23" s="11" t="n"/>
      <c r="F23" s="11" t="n"/>
      <c r="G23" s="11" t="n"/>
      <c r="H23" s="11" t="n"/>
      <c r="I23" s="11" t="n"/>
      <c r="J23" s="11" t="n"/>
    </row>
    <row r="24">
      <c r="A24" s="11" t="n">
        <v>23</v>
      </c>
      <c r="B24" s="11" t="n"/>
      <c r="C24" s="11" t="n"/>
      <c r="D24" s="11" t="n"/>
      <c r="E24" s="11" t="n"/>
      <c r="F24" s="11" t="n"/>
      <c r="G24" s="11" t="n"/>
      <c r="H24" s="11" t="n"/>
      <c r="I24" s="11" t="n"/>
      <c r="J24" s="11" t="n"/>
    </row>
    <row r="25">
      <c r="A25" s="11" t="n">
        <v>24</v>
      </c>
      <c r="B25" s="11" t="n"/>
      <c r="C25" s="11" t="n"/>
      <c r="D25" s="11" t="n"/>
      <c r="E25" s="11" t="n"/>
      <c r="F25" s="11" t="n"/>
      <c r="G25" s="11" t="n"/>
      <c r="H25" s="11" t="n"/>
      <c r="I25" s="11" t="n"/>
      <c r="J25" s="11" t="n"/>
    </row>
    <row r="26">
      <c r="A26" s="11" t="n">
        <v>25</v>
      </c>
      <c r="B26" s="11" t="n"/>
      <c r="C26" s="11" t="n"/>
      <c r="D26" s="11" t="n"/>
      <c r="E26" s="11" t="n"/>
      <c r="F26" s="11" t="n"/>
      <c r="G26" s="11" t="n"/>
      <c r="H26" s="11" t="n"/>
      <c r="I26" s="11" t="n"/>
      <c r="J26" s="11" t="n"/>
    </row>
    <row r="27">
      <c r="A27" s="11" t="n">
        <v>26</v>
      </c>
      <c r="B27" s="11" t="n"/>
      <c r="C27" s="11" t="n"/>
      <c r="D27" s="11" t="n"/>
      <c r="E27" s="11" t="n"/>
      <c r="F27" s="11" t="n"/>
      <c r="G27" s="11" t="n"/>
      <c r="H27" s="11" t="n"/>
      <c r="I27" s="11" t="n"/>
      <c r="J27" s="11" t="n"/>
    </row>
    <row r="28">
      <c r="A28" s="11" t="n">
        <v>27</v>
      </c>
      <c r="B28" s="11" t="n"/>
      <c r="C28" s="11" t="n"/>
      <c r="D28" s="11" t="n"/>
      <c r="E28" s="11" t="n"/>
      <c r="F28" s="11" t="n"/>
      <c r="G28" s="11" t="n"/>
      <c r="H28" s="11" t="n"/>
      <c r="I28" s="11" t="n"/>
      <c r="J28" s="11" t="n"/>
    </row>
    <row r="29">
      <c r="A29" s="11" t="n">
        <v>28</v>
      </c>
      <c r="B29" s="11" t="n"/>
      <c r="C29" s="11" t="n"/>
      <c r="D29" s="11" t="n"/>
      <c r="E29" s="11" t="n"/>
      <c r="F29" s="11" t="n"/>
      <c r="G29" s="11" t="n"/>
      <c r="H29" s="11" t="n"/>
      <c r="I29" s="11" t="n"/>
      <c r="J29" s="11" t="n"/>
    </row>
    <row r="30">
      <c r="A30" s="11" t="n">
        <v>29</v>
      </c>
      <c r="B30" s="11" t="n"/>
      <c r="C30" s="11" t="n"/>
      <c r="D30" s="11" t="n"/>
      <c r="E30" s="11" t="n"/>
      <c r="F30" s="11" t="n"/>
      <c r="G30" s="11" t="n"/>
      <c r="H30" s="11" t="n"/>
      <c r="I30" s="11" t="n"/>
      <c r="J30" s="11" t="n"/>
    </row>
    <row r="31">
      <c r="A31" s="11" t="n">
        <v>30</v>
      </c>
      <c r="B31" s="11" t="n"/>
      <c r="C31" s="11" t="n"/>
      <c r="D31" s="11" t="n"/>
      <c r="E31" s="11" t="n"/>
      <c r="F31" s="11" t="n"/>
      <c r="G31" s="11" t="n"/>
      <c r="H31" s="11" t="n"/>
      <c r="I31" s="11" t="n"/>
      <c r="J31" s="11" t="n"/>
    </row>
    <row r="32">
      <c r="A32" s="11" t="n">
        <v>31</v>
      </c>
      <c r="B32" s="11" t="n"/>
      <c r="C32" s="11" t="n"/>
      <c r="D32" s="11" t="n"/>
      <c r="E32" s="11" t="n"/>
      <c r="F32" s="11" t="n"/>
      <c r="G32" s="11" t="n"/>
      <c r="H32" s="11" t="n"/>
      <c r="I32" s="11" t="n"/>
      <c r="J32" s="11" t="n"/>
    </row>
    <row r="33">
      <c r="A33" s="11" t="n">
        <v>32</v>
      </c>
      <c r="B33" s="11" t="n"/>
      <c r="C33" s="11" t="n"/>
      <c r="D33" s="11" t="n"/>
      <c r="E33" s="11" t="n"/>
      <c r="F33" s="11" t="n"/>
      <c r="G33" s="11" t="n"/>
      <c r="H33" s="11" t="n"/>
      <c r="I33" s="11" t="n"/>
      <c r="J33" s="11" t="n"/>
    </row>
    <row r="34">
      <c r="A34" s="11" t="n">
        <v>33</v>
      </c>
      <c r="B34" s="11" t="n"/>
      <c r="C34" s="11" t="n"/>
      <c r="D34" s="11" t="n"/>
      <c r="E34" s="11" t="n"/>
      <c r="F34" s="11" t="n"/>
      <c r="G34" s="11" t="n"/>
      <c r="H34" s="11" t="n"/>
      <c r="I34" s="11" t="n"/>
      <c r="J34" s="11" t="n"/>
    </row>
    <row r="35">
      <c r="A35" s="11" t="n">
        <v>34</v>
      </c>
      <c r="B35" s="11" t="n"/>
      <c r="C35" s="11" t="n"/>
      <c r="D35" s="11" t="n"/>
      <c r="E35" s="11" t="n"/>
      <c r="F35" s="11" t="n"/>
      <c r="G35" s="11" t="n"/>
      <c r="H35" s="11" t="n"/>
      <c r="I35" s="11" t="n"/>
      <c r="J35" s="11" t="n"/>
    </row>
    <row r="36">
      <c r="A36" s="11" t="n">
        <v>35</v>
      </c>
      <c r="B36" s="11" t="n"/>
      <c r="C36" s="11" t="n"/>
      <c r="D36" s="11" t="n"/>
      <c r="E36" s="11" t="n"/>
      <c r="F36" s="11" t="n"/>
      <c r="G36" s="11" t="n"/>
      <c r="H36" s="11" t="n"/>
      <c r="I36" s="11" t="n"/>
      <c r="J36" s="11" t="n"/>
    </row>
    <row r="37">
      <c r="A37" s="11" t="n">
        <v>36</v>
      </c>
      <c r="B37" s="11" t="n"/>
      <c r="C37" s="11" t="n"/>
      <c r="D37" s="11" t="n"/>
      <c r="E37" s="11" t="n"/>
      <c r="F37" s="11" t="n"/>
      <c r="G37" s="11" t="n"/>
      <c r="H37" s="11" t="n"/>
      <c r="I37" s="11" t="n"/>
      <c r="J37" s="11" t="n"/>
    </row>
    <row r="38">
      <c r="A38" s="11" t="n">
        <v>37</v>
      </c>
      <c r="B38" s="11" t="n"/>
      <c r="C38" s="11" t="n"/>
      <c r="D38" s="11" t="n"/>
      <c r="E38" s="11" t="n"/>
      <c r="F38" s="11" t="n"/>
      <c r="G38" s="11" t="n"/>
      <c r="H38" s="11" t="n"/>
      <c r="I38" s="11" t="n"/>
      <c r="J38" s="11" t="n"/>
    </row>
    <row r="39">
      <c r="A39" s="11" t="n">
        <v>38</v>
      </c>
      <c r="B39" s="11" t="n"/>
      <c r="C39" s="11" t="n"/>
      <c r="D39" s="11" t="n"/>
      <c r="E39" s="11" t="n"/>
      <c r="F39" s="11" t="n"/>
      <c r="G39" s="11" t="n"/>
      <c r="H39" s="11" t="n"/>
      <c r="I39" s="11" t="n"/>
      <c r="J39" s="11" t="n"/>
    </row>
    <row r="40">
      <c r="A40" s="11" t="n">
        <v>39</v>
      </c>
      <c r="B40" s="11" t="n"/>
      <c r="C40" s="11" t="n"/>
      <c r="D40" s="11" t="n"/>
      <c r="E40" s="11" t="n"/>
      <c r="F40" s="11" t="n"/>
      <c r="G40" s="11" t="n"/>
      <c r="H40" s="11" t="n"/>
      <c r="I40" s="11" t="n"/>
      <c r="J40" s="11" t="n"/>
    </row>
    <row r="41">
      <c r="A41" s="11" t="n">
        <v>40</v>
      </c>
      <c r="B41" s="11" t="n"/>
      <c r="C41" s="11" t="n"/>
      <c r="D41" s="11" t="n"/>
      <c r="E41" s="11" t="n"/>
      <c r="F41" s="11" t="n"/>
      <c r="G41" s="11" t="n"/>
      <c r="H41" s="11" t="n"/>
      <c r="I41" s="11" t="n"/>
      <c r="J41" s="11" t="n"/>
    </row>
    <row r="42">
      <c r="A42" s="11" t="n">
        <v>41</v>
      </c>
      <c r="B42" s="11" t="n"/>
      <c r="C42" s="11" t="n"/>
      <c r="D42" s="11" t="n"/>
      <c r="E42" s="11" t="n"/>
      <c r="F42" s="11" t="n"/>
      <c r="G42" s="11" t="n"/>
      <c r="H42" s="11" t="n"/>
      <c r="I42" s="11" t="n"/>
      <c r="J42" s="11" t="n"/>
    </row>
    <row r="43">
      <c r="A43" s="11" t="n">
        <v>42</v>
      </c>
      <c r="B43" s="11" t="n"/>
      <c r="C43" s="11" t="n"/>
      <c r="D43" s="11" t="n"/>
      <c r="E43" s="11" t="n"/>
      <c r="F43" s="11" t="n"/>
      <c r="G43" s="11" t="n"/>
      <c r="H43" s="11" t="n"/>
      <c r="I43" s="11" t="n"/>
      <c r="J43" s="11" t="n"/>
    </row>
    <row r="44">
      <c r="A44" s="11" t="n">
        <v>43</v>
      </c>
      <c r="B44" s="11" t="n"/>
      <c r="C44" s="11" t="n"/>
      <c r="D44" s="11" t="n"/>
      <c r="E44" s="11" t="n"/>
      <c r="F44" s="11" t="n"/>
      <c r="G44" s="11" t="n"/>
      <c r="H44" s="11" t="n"/>
      <c r="I44" s="11" t="n"/>
      <c r="J44" s="11" t="n"/>
    </row>
    <row r="45">
      <c r="A45" s="11" t="n">
        <v>44</v>
      </c>
      <c r="B45" s="11" t="n"/>
      <c r="C45" s="11" t="n"/>
      <c r="D45" s="11" t="n"/>
      <c r="E45" s="11" t="n"/>
      <c r="F45" s="11" t="n"/>
      <c r="G45" s="11" t="n"/>
      <c r="H45" s="11" t="n"/>
      <c r="I45" s="11" t="n"/>
      <c r="J45" s="11" t="n"/>
    </row>
    <row r="46">
      <c r="A46" s="11" t="n">
        <v>45</v>
      </c>
      <c r="B46" s="11" t="n"/>
      <c r="C46" s="11" t="n"/>
      <c r="D46" s="11" t="n"/>
      <c r="E46" s="11" t="n"/>
      <c r="F46" s="11" t="n"/>
      <c r="G46" s="11" t="n"/>
      <c r="H46" s="11" t="n"/>
      <c r="I46" s="11" t="n"/>
      <c r="J46" s="11" t="n"/>
    </row>
    <row r="47">
      <c r="A47" s="11" t="n">
        <v>46</v>
      </c>
      <c r="B47" s="11" t="n"/>
      <c r="C47" s="11" t="n"/>
      <c r="D47" s="11" t="n"/>
      <c r="E47" s="11" t="n"/>
      <c r="F47" s="11" t="n"/>
      <c r="G47" s="11" t="n"/>
      <c r="H47" s="11" t="n"/>
      <c r="I47" s="11" t="n"/>
      <c r="J47" s="11" t="n"/>
    </row>
    <row r="48">
      <c r="A48" s="11" t="n">
        <v>47</v>
      </c>
      <c r="B48" s="11" t="n"/>
      <c r="C48" s="11" t="n"/>
      <c r="D48" s="11" t="n"/>
      <c r="E48" s="11" t="n"/>
      <c r="F48" s="11" t="n"/>
      <c r="G48" s="11" t="n"/>
      <c r="H48" s="11" t="n"/>
      <c r="I48" s="11" t="n"/>
      <c r="J48" s="11" t="n"/>
    </row>
    <row r="49">
      <c r="A49" s="11" t="n">
        <v>48</v>
      </c>
      <c r="B49" s="11" t="n"/>
      <c r="C49" s="11" t="n"/>
      <c r="D49" s="11" t="n"/>
      <c r="E49" s="11" t="n"/>
      <c r="F49" s="11" t="n"/>
      <c r="G49" s="11" t="n"/>
      <c r="H49" s="11" t="n"/>
      <c r="I49" s="11" t="n"/>
      <c r="J49" s="11" t="n"/>
    </row>
    <row r="50">
      <c r="A50" s="11" t="n">
        <v>49</v>
      </c>
      <c r="B50" s="11" t="n"/>
      <c r="C50" s="11" t="n"/>
      <c r="D50" s="11" t="n"/>
      <c r="E50" s="11" t="n"/>
      <c r="F50" s="11" t="n"/>
      <c r="G50" s="11" t="n"/>
      <c r="H50" s="11" t="n"/>
      <c r="I50" s="11" t="n"/>
      <c r="J50" s="11" t="n"/>
    </row>
    <row r="51">
      <c r="A51" s="11" t="n">
        <v>50</v>
      </c>
      <c r="B51" s="11" t="n"/>
      <c r="C51" s="11" t="n"/>
      <c r="D51" s="11" t="n"/>
      <c r="E51" s="11" t="n"/>
      <c r="F51" s="11" t="n"/>
      <c r="G51" s="11" t="n"/>
      <c r="H51" s="11" t="n"/>
      <c r="I51" s="11" t="n"/>
      <c r="J51" s="11" t="n"/>
    </row>
    <row r="52">
      <c r="A52" s="11" t="n">
        <v>51</v>
      </c>
      <c r="B52" s="11" t="n"/>
      <c r="C52" s="11" t="n"/>
      <c r="D52" s="11" t="n"/>
      <c r="E52" s="11" t="n"/>
      <c r="F52" s="11" t="n"/>
      <c r="G52" s="11" t="n"/>
      <c r="H52" s="11" t="n"/>
      <c r="I52" s="11" t="n"/>
      <c r="J52" s="11" t="n"/>
    </row>
    <row r="53">
      <c r="A53" s="11" t="n">
        <v>52</v>
      </c>
      <c r="B53" s="11" t="n"/>
      <c r="C53" s="11" t="n"/>
      <c r="D53" s="11" t="n"/>
      <c r="E53" s="11" t="n"/>
      <c r="F53" s="11" t="n"/>
      <c r="G53" s="11" t="n"/>
      <c r="H53" s="11" t="n"/>
      <c r="I53" s="11" t="n"/>
      <c r="J53" s="11" t="n"/>
    </row>
    <row r="54">
      <c r="A54" s="11" t="n">
        <v>53</v>
      </c>
      <c r="B54" s="11" t="n"/>
      <c r="C54" s="11" t="n"/>
      <c r="D54" s="11" t="n"/>
      <c r="E54" s="11" t="n"/>
      <c r="F54" s="11" t="n"/>
      <c r="G54" s="11" t="n"/>
      <c r="H54" s="11" t="n"/>
      <c r="I54" s="11" t="n"/>
      <c r="J54" s="11" t="n"/>
    </row>
    <row r="55">
      <c r="A55" s="11" t="n">
        <v>54</v>
      </c>
      <c r="B55" s="11" t="n"/>
      <c r="C55" s="11" t="n"/>
      <c r="D55" s="11" t="n"/>
      <c r="E55" s="11" t="n"/>
      <c r="F55" s="11" t="n"/>
      <c r="G55" s="11" t="n"/>
      <c r="H55" s="11" t="n"/>
      <c r="I55" s="11" t="n"/>
      <c r="J55" s="11" t="n"/>
    </row>
    <row r="56">
      <c r="A56" s="11" t="n">
        <v>55</v>
      </c>
      <c r="B56" s="11" t="n"/>
      <c r="C56" s="11" t="n"/>
      <c r="D56" s="11" t="n"/>
      <c r="E56" s="11" t="n"/>
      <c r="F56" s="11" t="n"/>
      <c r="G56" s="11" t="n"/>
      <c r="H56" s="11" t="n"/>
      <c r="I56" s="11" t="n"/>
      <c r="J56" s="11" t="n"/>
    </row>
    <row r="57">
      <c r="A57" s="11" t="n">
        <v>56</v>
      </c>
      <c r="B57" s="11" t="n"/>
      <c r="C57" s="11" t="n"/>
      <c r="D57" s="11" t="n"/>
      <c r="E57" s="11" t="n"/>
      <c r="F57" s="11" t="n"/>
      <c r="G57" s="11" t="n"/>
      <c r="H57" s="11" t="n"/>
      <c r="I57" s="11" t="n"/>
      <c r="J57" s="11" t="n"/>
    </row>
    <row r="58">
      <c r="A58" s="11" t="n">
        <v>57</v>
      </c>
      <c r="B58" s="11" t="n"/>
      <c r="C58" s="11" t="n"/>
      <c r="D58" s="11" t="n"/>
      <c r="E58" s="11" t="n"/>
      <c r="F58" s="11" t="n"/>
      <c r="G58" s="11" t="n"/>
      <c r="H58" s="11" t="n"/>
      <c r="I58" s="11" t="n"/>
      <c r="J58" s="11" t="n"/>
    </row>
    <row r="59">
      <c r="A59" s="11" t="n">
        <v>58</v>
      </c>
      <c r="B59" s="11" t="n"/>
      <c r="C59" s="11" t="n"/>
      <c r="D59" s="11" t="n"/>
      <c r="E59" s="11" t="n"/>
      <c r="F59" s="11" t="n"/>
      <c r="G59" s="11" t="n"/>
      <c r="H59" s="11" t="n"/>
      <c r="I59" s="11" t="n"/>
      <c r="J59" s="11" t="n"/>
    </row>
  </sheetData>
  <dataValidations count="2">
    <dataValidation sqref="G2 G3 G4 G5 G6 G7 G8 G9 G10 G11 G12 G13 G14 G15 G16 G17 G18 G19 G20 G21 G22 G23 G24 G25 G26 G27 G28 G29 G30 G31 G32 G33 G34 G35 G36 G37 G38 G39 G40 G41 G42 G43 G44 G45 G46 G47 G48 G49 G50 G51 G52 G53 G54 G55 G56 G57 G58 G59" showDropDown="0" showInputMessage="0" showErrorMessage="0" allowBlank="1" type="list">
      <formula1>"Critical,High,Medium,Low"</formula1>
    </dataValidation>
    <dataValidation sqref="I2 I3 I4 I5 I6 I7 I8 I9 I10 I11 I12 I13 I14 I15 I16 I17 I18 I19 I20 I21 I22 I23 I24 I25 I26 I27 I28 I29 I30 I31 I32 I33 I34 I35 I36 I37 I38 I39 I40 I41 I42 I43 I44 I45 I46 I47 I48 I49 I50 I51 I52 I53 I54 I55 I56 I57 I58 I59" showDropDown="0" showInputMessage="0" showErrorMessage="0" allowBlank="1" type="list">
      <formula1>"Open,In progress,Fixed,Retested OK,Won't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2026-10-05T17:02:02Z</dcterms:created>
  <dcterms:modified xmlns:dcterms="http://purl.org/dc/terms/" xmlns:xsi="http://www.w3.org/2001/XMLSchema-instance" xsi:type="dcterms:W3CDTF">2026-10-05T17:02:02Z</dcterms:modified>
</cp:coreProperties>
</file>